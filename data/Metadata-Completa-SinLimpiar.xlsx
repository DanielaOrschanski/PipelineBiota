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" sheetId="1" r:id="rId4"/>
    <sheet state="visible" name="Tarea 5" sheetId="2" r:id="rId5"/>
  </sheets>
  <definedNames>
    <definedName hidden="1" localSheetId="0" name="_xlnm._FilterDatabase">Respuestas!$A$1:$BJ$397</definedName>
  </definedNames>
  <calcPr/>
  <extLst>
    <ext uri="GoogleSheetsCustomDataVersion2">
      <go:sheetsCustomData xmlns:go="http://customooxmlschemas.google.com/" r:id="rId6" roundtripDataChecksum="6X7a+CaN79SaNBQE4BZSGwbgcJQ69UxmBuh6dOAtcXs="/>
    </ext>
  </extLst>
</workbook>
</file>

<file path=xl/sharedStrings.xml><?xml version="1.0" encoding="utf-8"?>
<sst xmlns="http://schemas.openxmlformats.org/spreadsheetml/2006/main" count="10017" uniqueCount="1572">
  <si>
    <t>ID-F</t>
  </si>
  <si>
    <t>ID</t>
  </si>
  <si>
    <t>Marca temporal</t>
  </si>
  <si>
    <t>1. Nombre y Apellido</t>
  </si>
  <si>
    <t>2. Fecha de Nacimiento</t>
  </si>
  <si>
    <t>3. Sexo</t>
  </si>
  <si>
    <t>4. Email</t>
  </si>
  <si>
    <t>5. Teléfono de Contacto</t>
  </si>
  <si>
    <t>6. Color de Cabello</t>
  </si>
  <si>
    <t>7. Color de Ojos</t>
  </si>
  <si>
    <t xml:space="preserve">22. ¿Tiene facilidad a quemarse y a broncearse? </t>
  </si>
  <si>
    <t xml:space="preserve">8. Peso  </t>
  </si>
  <si>
    <t>9. Altura</t>
  </si>
  <si>
    <t>10. ¿Antecedente de alguna enfermedad?</t>
  </si>
  <si>
    <t>En caso de que SI, ¿Cuál?¿Cuáles?</t>
  </si>
  <si>
    <t>11. ¿Padece actualmente alguna de las siguientes afecciones de la piel?</t>
  </si>
  <si>
    <t>En caso que tu respuesta anterior fuera "Otra", ¿Cuál? ¿Cuáles?</t>
  </si>
  <si>
    <t>12. ¿Realizó algún tratamiento estético durante los últimos 3 meses?</t>
  </si>
  <si>
    <t>13. ¿Cambió su método anticonceptivo oral durante los últimos tres meses?</t>
  </si>
  <si>
    <t>14. ¿Está embarazada o amantando?</t>
  </si>
  <si>
    <t>15. ¿Consume algún tipo de medicamento por su cuenta o se encuentra en tratamiento médico?</t>
  </si>
  <si>
    <t>¿Qué está utilizando?</t>
  </si>
  <si>
    <t>¿Con qué frecuencia?</t>
  </si>
  <si>
    <t>¿Cuándo comenzó con la medicación?</t>
  </si>
  <si>
    <t>16. ¿Fuma tabaco?</t>
  </si>
  <si>
    <t>Si la respuesta anterior es si, ¿cuántos cigarrillos fuma por semana?</t>
  </si>
  <si>
    <t>17.  ¿Consume alcohol?</t>
  </si>
  <si>
    <t>Si la respuesta anterior es si, ¿cuántos vasos de alcohol toma por semana?</t>
  </si>
  <si>
    <t>18.  ¿Cuándo realiza actividad física?</t>
  </si>
  <si>
    <t>19.  ¿Cuándo se limpia la cara?</t>
  </si>
  <si>
    <t>20. ¿Con qué se limpia la cara?</t>
  </si>
  <si>
    <t>21. Tipo de piel</t>
  </si>
  <si>
    <t>23.  ¿Cuándo se aplica protector solar?</t>
  </si>
  <si>
    <t>24.  ¿Cuándo utiliza maquillaje?</t>
  </si>
  <si>
    <t>¿Qué tipo/s de maquillaje usa?</t>
  </si>
  <si>
    <t/>
  </si>
  <si>
    <t>Toma de muestra en Recoleta - CABA en el consultorio de la Dra. Mera Valeria 
(Billinghurts 1599)
¿Qué día y horario preferís?</t>
  </si>
  <si>
    <t>Toma de muestra en San Isidro-Buenos Aires 
en el consultorio de la Dra. Gigirey Agustina (Suipacha 1526 - Beccar)
¿Qué día y horario preferís?</t>
  </si>
  <si>
    <t>Toma de muestra en Tandil-Buenos Aires (Chacabuco 578)
en el consultorio de Martina Bayerque
¿Qué día y horario preferís?</t>
  </si>
  <si>
    <t>18.  ¿Fuma tabaco?</t>
  </si>
  <si>
    <t>En caso que SI, cuántos fuma?</t>
  </si>
  <si>
    <t>En caso que SI, con qué frecuencia fuma?</t>
  </si>
  <si>
    <t>cuanto</t>
  </si>
  <si>
    <t>Cantidad y frecuencia de consumo de cigarrillos. [5-10]</t>
  </si>
  <si>
    <t>Cantidad y frecuencia de consumo de cigarrillos. [10-15]</t>
  </si>
  <si>
    <t>¿Con qué frecuencia? [2]</t>
  </si>
  <si>
    <t>¿Con qué frecuencia? [3 o más]</t>
  </si>
  <si>
    <t>Si la respuesta anterior es si, ¿cuántos cigarrillos fuma por semana? [2-5 vasos]</t>
  </si>
  <si>
    <t>Si la respuesta anterior es si, ¿cuántos cigarrillos fuma por semana? [5-10 vasos]</t>
  </si>
  <si>
    <t>Frecuencia de limpieza facial por día</t>
  </si>
  <si>
    <t>18. Cantidad y frecuencia de consumo de cigarrillos. [NO]</t>
  </si>
  <si>
    <t>Cantidad y frecuencia de consumo de cigarrillos. [NO]</t>
  </si>
  <si>
    <t>24.¿Consume alcohol?</t>
  </si>
  <si>
    <t xml:space="preserve"> ¿Hace cuánto? [2-5]</t>
  </si>
  <si>
    <t xml:space="preserve"> ¿Hace cuánto? [5-10]</t>
  </si>
  <si>
    <t xml:space="preserve"> ¿Hace cuánto? [&gt;10]</t>
  </si>
  <si>
    <t>Cantidad de cigarrillos que fuma por semana</t>
  </si>
  <si>
    <t>Fecha Cita</t>
  </si>
  <si>
    <t>Asistió</t>
  </si>
  <si>
    <t>Tomo muestra</t>
  </si>
  <si>
    <t>Edad</t>
  </si>
  <si>
    <t>Rango etario</t>
  </si>
  <si>
    <t>Secuenciado</t>
  </si>
  <si>
    <t>En la plataforma?</t>
  </si>
  <si>
    <t>Enviado?</t>
  </si>
  <si>
    <t>21. Tipo de piel-NO</t>
  </si>
  <si>
    <t xml:space="preserve">Nerina Ermacora </t>
  </si>
  <si>
    <t>Femenino</t>
  </si>
  <si>
    <t>ermacoranerina@gmail.com</t>
  </si>
  <si>
    <t>Rubio</t>
  </si>
  <si>
    <t>Verde</t>
  </si>
  <si>
    <t>2 (me quemo facilmente y me bronceo ligeramente)</t>
  </si>
  <si>
    <t>1.60</t>
  </si>
  <si>
    <t>NO</t>
  </si>
  <si>
    <t>Ninguna</t>
  </si>
  <si>
    <t>SI</t>
  </si>
  <si>
    <t>1-5</t>
  </si>
  <si>
    <t>1 o 2 veces por semana</t>
  </si>
  <si>
    <t>Cuando me baño/ 1 vez por día</t>
  </si>
  <si>
    <t>Agua micelar</t>
  </si>
  <si>
    <t>Piel Mixta</t>
  </si>
  <si>
    <t>Solo ante exposición en verano</t>
  </si>
  <si>
    <t>Nunca</t>
  </si>
  <si>
    <t>Vanesa Labovsky</t>
  </si>
  <si>
    <t>vanelabovsky@yahoo.com.ar</t>
  </si>
  <si>
    <t>Marrón oscuro</t>
  </si>
  <si>
    <t>3 (me quemo ligeramente y tengo buena capacidad de bronceado)</t>
  </si>
  <si>
    <t>1.68</t>
  </si>
  <si>
    <t xml:space="preserve">Para la presión </t>
  </si>
  <si>
    <t xml:space="preserve">2 años , todos los días </t>
  </si>
  <si>
    <t>Paula Oneto</t>
  </si>
  <si>
    <t>onetopaula7@gmail.com</t>
  </si>
  <si>
    <t>Castaño</t>
  </si>
  <si>
    <t>1.70</t>
  </si>
  <si>
    <t>2 veces por día</t>
  </si>
  <si>
    <t>Todos los días</t>
  </si>
  <si>
    <t>Diariamente</t>
  </si>
  <si>
    <t>rimmel y rubor</t>
  </si>
  <si>
    <t>ya se encontró</t>
  </si>
  <si>
    <t xml:space="preserve">Martina Benedetti </t>
  </si>
  <si>
    <t xml:space="preserve">martu.benedetti@gmail.com </t>
  </si>
  <si>
    <t>1.6</t>
  </si>
  <si>
    <t>1 o 2 veces por mes</t>
  </si>
  <si>
    <t xml:space="preserve">tapa ojeras </t>
  </si>
  <si>
    <t>MR</t>
  </si>
  <si>
    <t xml:space="preserve">Juan Manuel Ortiz Wilczyñski </t>
  </si>
  <si>
    <t>Masculino</t>
  </si>
  <si>
    <t>juanma.ow@gmail.com</t>
  </si>
  <si>
    <t>01123006143</t>
  </si>
  <si>
    <t>Marrón claro</t>
  </si>
  <si>
    <t>1.83</t>
  </si>
  <si>
    <t>Asma alérgica</t>
  </si>
  <si>
    <t>6-10</t>
  </si>
  <si>
    <t>Jabón específico</t>
  </si>
  <si>
    <t>fuera de tiempo</t>
  </si>
  <si>
    <t>sofia sidlik</t>
  </si>
  <si>
    <t>sofiasidlik92@gmail.com</t>
  </si>
  <si>
    <t>hiperplasia nodular tiroides</t>
  </si>
  <si>
    <t>levotiroxina</t>
  </si>
  <si>
    <t>hace 5 meses</t>
  </si>
  <si>
    <t>Silvia Patricia Weiss</t>
  </si>
  <si>
    <t>lic.spweiss@gmail.com</t>
  </si>
  <si>
    <t>11 6214 6308</t>
  </si>
  <si>
    <t>1.64</t>
  </si>
  <si>
    <t>Paula Arana</t>
  </si>
  <si>
    <t>aranapau@gmail.com</t>
  </si>
  <si>
    <t>1.69</t>
  </si>
  <si>
    <t>Vortoxetina, alprazolam, vitaminas y aminoacidos, colagenos tipoll, liraglutida</t>
  </si>
  <si>
    <t>Leonardo Dandeu</t>
  </si>
  <si>
    <t xml:space="preserve">leodandeu@gmail.com </t>
  </si>
  <si>
    <t>1.78</t>
  </si>
  <si>
    <t>Gel de limpieza</t>
  </si>
  <si>
    <t>Brian Morilla</t>
  </si>
  <si>
    <t>peritomorilla@gmail.com</t>
  </si>
  <si>
    <t>4 (rara vez me quemo con el sol y me bronceo fácilmente)</t>
  </si>
  <si>
    <t>Agustín Bramanti</t>
  </si>
  <si>
    <t>agustin.bramanti@sf500.com.ar</t>
  </si>
  <si>
    <t>-</t>
  </si>
  <si>
    <t>Agua</t>
  </si>
  <si>
    <t>Piel seca</t>
  </si>
  <si>
    <t xml:space="preserve">Maria Florencia Locascio </t>
  </si>
  <si>
    <t>mflocascio@gmail.com</t>
  </si>
  <si>
    <t>1.54</t>
  </si>
  <si>
    <t>polvo compacto</t>
  </si>
  <si>
    <t xml:space="preserve">Carmen Szwarc </t>
  </si>
  <si>
    <t>chichelabovsky@gmail.com</t>
  </si>
  <si>
    <t>Celeste</t>
  </si>
  <si>
    <t>1.65</t>
  </si>
  <si>
    <t xml:space="preserve">Tiroides </t>
  </si>
  <si>
    <t xml:space="preserve">Alplax </t>
  </si>
  <si>
    <t xml:space="preserve">10 años un miligramo </t>
  </si>
  <si>
    <t>Piel Seca</t>
  </si>
  <si>
    <t>base y crema</t>
  </si>
  <si>
    <t>Daiana daitch</t>
  </si>
  <si>
    <t>daidaitch@gmail.com</t>
  </si>
  <si>
    <t>Yamila Herrero</t>
  </si>
  <si>
    <t>yamila.herrero@gmail.com</t>
  </si>
  <si>
    <t>0247815475916</t>
  </si>
  <si>
    <t>1.57</t>
  </si>
  <si>
    <t>hipotiroidismo</t>
  </si>
  <si>
    <t>diario</t>
  </si>
  <si>
    <t>cecilia proietti</t>
  </si>
  <si>
    <t>cproietti@ibyme.conicet.gov.ar</t>
  </si>
  <si>
    <t>1.61</t>
  </si>
  <si>
    <t>Matias Gatto</t>
  </si>
  <si>
    <t>matiasivangatto@gmail.com</t>
  </si>
  <si>
    <t>1 (me quemo constantemente y no me bronceo)</t>
  </si>
  <si>
    <t>1.75</t>
  </si>
  <si>
    <t>Sol Ferrero</t>
  </si>
  <si>
    <t>sool.ferrero@gmail.com</t>
  </si>
  <si>
    <t>Pastillas anticonceptivas</t>
  </si>
  <si>
    <t>Diaria. 1 año.</t>
  </si>
  <si>
    <t>Diana Wehrendt</t>
  </si>
  <si>
    <t>dwehrendt@gmail.com</t>
  </si>
  <si>
    <t xml:space="preserve">Clara Hael </t>
  </si>
  <si>
    <t>clarahael@gmail.com</t>
  </si>
  <si>
    <t xml:space="preserve">Morocho </t>
  </si>
  <si>
    <t>1.59</t>
  </si>
  <si>
    <t>Acné</t>
  </si>
  <si>
    <t xml:space="preserve">María José España </t>
  </si>
  <si>
    <t>majo3094@gmail.com</t>
  </si>
  <si>
    <t>1.56</t>
  </si>
  <si>
    <t xml:space="preserve">Rosácea </t>
  </si>
  <si>
    <t xml:space="preserve">Cecilia Martínez </t>
  </si>
  <si>
    <t>ceciimartinez2013@gmail.com</t>
  </si>
  <si>
    <t>B12</t>
  </si>
  <si>
    <t xml:space="preserve">2 veces por semana </t>
  </si>
  <si>
    <t>Piel Grasa</t>
  </si>
  <si>
    <t>Base hipoalergenica</t>
  </si>
  <si>
    <t>1 vez por dia</t>
  </si>
  <si>
    <t>VM</t>
  </si>
  <si>
    <t>acne</t>
  </si>
  <si>
    <t>amalia boto</t>
  </si>
  <si>
    <t>ardouinamalie@gmail.com</t>
  </si>
  <si>
    <t>1.67</t>
  </si>
  <si>
    <t xml:space="preserve">hipotiroidismo, hipercolesterolemia, glaucoma </t>
  </si>
  <si>
    <t>levotiroxina, rosuvastatina</t>
  </si>
  <si>
    <t>levotirox, diaria 50mcg, rosuvastatina 20 mg diaria</t>
  </si>
  <si>
    <t>Monica Pinner</t>
  </si>
  <si>
    <t>monicakusa@gmail.com</t>
  </si>
  <si>
    <t xml:space="preserve">Rubio </t>
  </si>
  <si>
    <t xml:space="preserve">Hashimoto </t>
  </si>
  <si>
    <t xml:space="preserve">Levotiroxina </t>
  </si>
  <si>
    <t xml:space="preserve">Todos los días. 30 años </t>
  </si>
  <si>
    <t>&gt;50</t>
  </si>
  <si>
    <t>Jabón regular</t>
  </si>
  <si>
    <t>Maquillaje de ojos</t>
  </si>
  <si>
    <t xml:space="preserve">Jacqueline Novacovsky </t>
  </si>
  <si>
    <t>jakynova1975@gmail.com</t>
  </si>
  <si>
    <t xml:space="preserve">Urticaria crónica </t>
  </si>
  <si>
    <t>Otra</t>
  </si>
  <si>
    <t xml:space="preserve">Urticaria crónica espontánea </t>
  </si>
  <si>
    <t>Mercedes Fuertes</t>
  </si>
  <si>
    <t>merfuer@gmail.com</t>
  </si>
  <si>
    <t>Carolina Domaica</t>
  </si>
  <si>
    <t>cdomaica@gmail.com</t>
  </si>
  <si>
    <t>1.7</t>
  </si>
  <si>
    <t>loratadina</t>
  </si>
  <si>
    <t>cuando me agarran ataques de alergia (rinitis alergica)</t>
  </si>
  <si>
    <t>Florencia Tesoriero</t>
  </si>
  <si>
    <t>tesorieroflorencia@hotmail.com</t>
  </si>
  <si>
    <t>Canoso</t>
  </si>
  <si>
    <t>Dermatitis atópica, Otra</t>
  </si>
  <si>
    <t xml:space="preserve"> liquen escleroso vulvar</t>
  </si>
  <si>
    <t>Clobetasol unguento, aplicacion topica en vulva</t>
  </si>
  <si>
    <t>Desde febrero 2022, 1 por semana aprox</t>
  </si>
  <si>
    <t>Natalia</t>
  </si>
  <si>
    <t>natioscozita@gmail.com</t>
  </si>
  <si>
    <t>Anticonceptivos</t>
  </si>
  <si>
    <t>Diaria. Hace 1 año</t>
  </si>
  <si>
    <t>Graciela Rosario</t>
  </si>
  <si>
    <t>gravirros@yahoo.com.ar</t>
  </si>
  <si>
    <t>1.52</t>
  </si>
  <si>
    <t xml:space="preserve">Benito Labovsky </t>
  </si>
  <si>
    <t>nitolabovsky@gmail.com</t>
  </si>
  <si>
    <t>11 55794500</t>
  </si>
  <si>
    <t>gliotenside 10mg.  atorvastatin 10 mg.  metformina 850</t>
  </si>
  <si>
    <t>hace 20 años uno por dia</t>
  </si>
  <si>
    <t>Martha Beserman</t>
  </si>
  <si>
    <t>marthabeser@yahoo.com.ar</t>
  </si>
  <si>
    <t>11 6428 6675</t>
  </si>
  <si>
    <t>1.63</t>
  </si>
  <si>
    <t xml:space="preserve">rovartal 10.  raquiferol   </t>
  </si>
  <si>
    <t>dia por medio por 10 años</t>
  </si>
  <si>
    <t>Karina Menache</t>
  </si>
  <si>
    <t>karinapanczuch@hotmail.com</t>
  </si>
  <si>
    <t>Aminoacidos clonazepan 0,25. Alplax net. Levotiroxina 100 mg  rosuvastatina 0,5  pantoprasol 40 mg</t>
  </si>
  <si>
    <t>Todos los dias</t>
  </si>
  <si>
    <t>corrector ojeras, rubor</t>
  </si>
  <si>
    <t>Jorge Panczuch</t>
  </si>
  <si>
    <t>winnercorp@msn.com</t>
  </si>
  <si>
    <t>1.81</t>
  </si>
  <si>
    <t>Gluphage xr 500mg,Rosubastatina5,lercadip10,levotiroxina137mg,diosmin, sarval320, diurex 12,5mg, aspirina prevent</t>
  </si>
  <si>
    <t>Simón Szwarc</t>
  </si>
  <si>
    <t>siszw2010@yahoo.com.ar</t>
  </si>
  <si>
    <t>115579 4508</t>
  </si>
  <si>
    <t>Eufotina  Oravil</t>
  </si>
  <si>
    <t>Todas las noches y ,1 vez x mes</t>
  </si>
  <si>
    <t>Agustina Landi</t>
  </si>
  <si>
    <t>agustinalandi2000@hotmail.com</t>
  </si>
  <si>
    <t>1.73</t>
  </si>
  <si>
    <t>Acneclin</t>
  </si>
  <si>
    <t>Hace 2 meses y medio</t>
  </si>
  <si>
    <t>Delfina Katez</t>
  </si>
  <si>
    <t>delfikatez1@gmail.com</t>
  </si>
  <si>
    <t>1.55</t>
  </si>
  <si>
    <t>base, corrector ojeras</t>
  </si>
  <si>
    <t>Juan Carlos Soria</t>
  </si>
  <si>
    <t>juan.soria@sf500.com.ar</t>
  </si>
  <si>
    <t xml:space="preserve">Elena Nahon </t>
  </si>
  <si>
    <t xml:space="preserve">elena.nahon@gmail.com </t>
  </si>
  <si>
    <t>1.72</t>
  </si>
  <si>
    <t xml:space="preserve">Andrea Sofia Zannini </t>
  </si>
  <si>
    <t xml:space="preserve">andruz_92@hotmail.com </t>
  </si>
  <si>
    <t>corrector,rimel</t>
  </si>
  <si>
    <t>Camila Agustina Bach</t>
  </si>
  <si>
    <t>camilabach05@gmail.com</t>
  </si>
  <si>
    <t>0111551037756</t>
  </si>
  <si>
    <t>Marcelo Landi</t>
  </si>
  <si>
    <t>mglandi1967@gmail.com</t>
  </si>
  <si>
    <t>Calvo</t>
  </si>
  <si>
    <t>Hipertension</t>
  </si>
  <si>
    <t>Losartan 50</t>
  </si>
  <si>
    <t xml:space="preserve">1 vez por dia hace 6 meses </t>
  </si>
  <si>
    <t>Angeles Romina Arena</t>
  </si>
  <si>
    <t>angelesr.arena@gmail.com</t>
  </si>
  <si>
    <t>Marron</t>
  </si>
  <si>
    <t>Anemia</t>
  </si>
  <si>
    <t>Vitamina B12</t>
  </si>
  <si>
    <t>Una vez por semana hace dos meses</t>
  </si>
  <si>
    <t>labial, rimmel, sombras</t>
  </si>
  <si>
    <t>Camila Goldman</t>
  </si>
  <si>
    <t>camilagoldman1@gmail.com</t>
  </si>
  <si>
    <t xml:space="preserve">Agustina Roldán </t>
  </si>
  <si>
    <t xml:space="preserve">Agustina.roldand@gmail.com </t>
  </si>
  <si>
    <t>1.62</t>
  </si>
  <si>
    <t>Acné, Dermatitis atópica</t>
  </si>
  <si>
    <t xml:space="preserve">Ana Roldán Deamicis </t>
  </si>
  <si>
    <t>ana.roldandeamicis@gmail.com</t>
  </si>
  <si>
    <t>Tuve brotes de psoriasis en los codos y piel grasa y acné juvenil</t>
  </si>
  <si>
    <t>Todos los días. Hace unos 10 años.</t>
  </si>
  <si>
    <t>Joel Natan Miguel</t>
  </si>
  <si>
    <t>jonami1986@gmail.com</t>
  </si>
  <si>
    <t>Pitiriasis versicolor</t>
  </si>
  <si>
    <t>Antonio Garcete</t>
  </si>
  <si>
    <t xml:space="preserve">garceteeantonio@gmail.com </t>
  </si>
  <si>
    <t xml:space="preserve">Lucia Marinot </t>
  </si>
  <si>
    <t>lu.marinot@gmail.com</t>
  </si>
  <si>
    <t>Erika Leiss</t>
  </si>
  <si>
    <t>erikaleiss5@gmail.com</t>
  </si>
  <si>
    <t>Martín De Ambrosio</t>
  </si>
  <si>
    <t>mdeambrosio@gmail.com</t>
  </si>
  <si>
    <t>Martín Rivero</t>
  </si>
  <si>
    <t>martinnicolasrivero@gmail.com</t>
  </si>
  <si>
    <t xml:space="preserve">Francisco Clemente Herrera </t>
  </si>
  <si>
    <t>fherrera@cponline.org.ar</t>
  </si>
  <si>
    <t>Nefrectomia radical RD / arritmia</t>
  </si>
  <si>
    <t xml:space="preserve">Fensartan / Rosuvastatina / Ácido fólico </t>
  </si>
  <si>
    <t xml:space="preserve">Desde 2016 aprox </t>
  </si>
  <si>
    <t>Julian Herrera</t>
  </si>
  <si>
    <t>herrera.julian88@gmail.com</t>
  </si>
  <si>
    <t>Total magnesiano y supradyn forte</t>
  </si>
  <si>
    <t>diariamente, hace 4 meses</t>
  </si>
  <si>
    <t>Fernando Nicolás Sosa</t>
  </si>
  <si>
    <t>fernsosa94@gmail.com</t>
  </si>
  <si>
    <t>1.79</t>
  </si>
  <si>
    <t>outlier edad</t>
  </si>
  <si>
    <t xml:space="preserve">Sofia Sengenberger Stirling </t>
  </si>
  <si>
    <t>sofia.sengenberger@gmail.com</t>
  </si>
  <si>
    <t>Rosácea</t>
  </si>
  <si>
    <t xml:space="preserve">Mauricio Caballero </t>
  </si>
  <si>
    <t>mcaballero@infant.org.ar</t>
  </si>
  <si>
    <t>Mariana Beccar Varela</t>
  </si>
  <si>
    <t>marianafernandeza@hotmail.com</t>
  </si>
  <si>
    <t>Carcinoma de piel.Me lo sacaron hace 13 años no volvi a tener nada.Me cuido del sol .Pero 15 minutos mas o menos x dia estoy expuesta.</t>
  </si>
  <si>
    <t>Levotiroxina</t>
  </si>
  <si>
    <t>Desde menopausia</t>
  </si>
  <si>
    <t>Karina Represas</t>
  </si>
  <si>
    <t xml:space="preserve">krepresas@gmail.com </t>
  </si>
  <si>
    <t>Mariana Levinton</t>
  </si>
  <si>
    <t>mlevinton@focusmedia.con.ar</t>
  </si>
  <si>
    <t>1.66</t>
  </si>
  <si>
    <t>Psoriasis</t>
  </si>
  <si>
    <t xml:space="preserve">Javier Ariel Herrera </t>
  </si>
  <si>
    <t>cartaman11@yahoo.com.ar</t>
  </si>
  <si>
    <t xml:space="preserve">Paula Zilberay </t>
  </si>
  <si>
    <t xml:space="preserve">plzilberay@gmail.com </t>
  </si>
  <si>
    <t>Cancer mama</t>
  </si>
  <si>
    <t xml:space="preserve">Tamoxifeno </t>
  </si>
  <si>
    <t>Todos los dias hace 1 1/2 año</t>
  </si>
  <si>
    <t>Silvina Losada</t>
  </si>
  <si>
    <t>Silosada@gmail.vom</t>
  </si>
  <si>
    <t>Carcinoma basocelular de piel</t>
  </si>
  <si>
    <t>Carcinoma basocelular</t>
  </si>
  <si>
    <t>Sertralina-pregabalina</t>
  </si>
  <si>
    <t xml:space="preserve">Diaria </t>
  </si>
  <si>
    <t>marcosGarfunkel</t>
  </si>
  <si>
    <t>marcosgarfunkel@yahoo.com</t>
  </si>
  <si>
    <t>Dermatitis atópica</t>
  </si>
  <si>
    <t>Dexopral60,Rosux,Noster5/160</t>
  </si>
  <si>
    <t>uno x dia</t>
  </si>
  <si>
    <t>Mariana Aris</t>
  </si>
  <si>
    <t>mariana.aris@gmail.com</t>
  </si>
  <si>
    <t>549116431 5579</t>
  </si>
  <si>
    <t>Anticoncepción hormonal</t>
  </si>
  <si>
    <t>Desde Julio 2021</t>
  </si>
  <si>
    <t>Juan Martin Erostegui</t>
  </si>
  <si>
    <t>jmerostegui@hotmail.com</t>
  </si>
  <si>
    <t>1.82</t>
  </si>
  <si>
    <t>No</t>
  </si>
  <si>
    <t>Psoriasis, Rosácea</t>
  </si>
  <si>
    <t xml:space="preserve">Schurman Ester </t>
  </si>
  <si>
    <t xml:space="preserve">Esterschur@gmail.com </t>
  </si>
  <si>
    <t>Stelara</t>
  </si>
  <si>
    <t>Cada 3 meses</t>
  </si>
  <si>
    <t>Monica Dragonetti</t>
  </si>
  <si>
    <t>Lopezdragonetti@gmail.com</t>
  </si>
  <si>
    <t>1.74</t>
  </si>
  <si>
    <t>Mariana Losano</t>
  </si>
  <si>
    <t>marianalosanog@gmail.com</t>
  </si>
  <si>
    <t>escoliosis</t>
  </si>
  <si>
    <t>Vivian Labovsky</t>
  </si>
  <si>
    <t>16vivian@gmail.com</t>
  </si>
  <si>
    <t>01155794540</t>
  </si>
  <si>
    <t xml:space="preserve">maquillaje </t>
  </si>
  <si>
    <t>VL</t>
  </si>
  <si>
    <t>Sebastián Novacovsky</t>
  </si>
  <si>
    <t>sebasveneno@gmail.com</t>
  </si>
  <si>
    <t>01166010550</t>
  </si>
  <si>
    <t>1.80</t>
  </si>
  <si>
    <t>Matias Javier Pereson</t>
  </si>
  <si>
    <t>matiasjpereson@gmail.com</t>
  </si>
  <si>
    <t>1.77</t>
  </si>
  <si>
    <t>VIH</t>
  </si>
  <si>
    <t>Terapia antirretroviral</t>
  </si>
  <si>
    <t>Años</t>
  </si>
  <si>
    <t xml:space="preserve">Silvia González </t>
  </si>
  <si>
    <t xml:space="preserve">sgonzalez0933@hotmail.com </t>
  </si>
  <si>
    <t>Hipertension, hipotiroidismo</t>
  </si>
  <si>
    <t>Alpertan, levotiroxina</t>
  </si>
  <si>
    <t>Diaria, 10 años th4, 5 años alpertan</t>
  </si>
  <si>
    <t>Rosa Miñones</t>
  </si>
  <si>
    <t>rosaminiones@gmail.com</t>
  </si>
  <si>
    <t>Hipotiroidismo</t>
  </si>
  <si>
    <t>Mauricio l Wyler</t>
  </si>
  <si>
    <t>mauricio@wyler.com.ar</t>
  </si>
  <si>
    <t>Acné, Dermatitis atópica, Rosácea</t>
  </si>
  <si>
    <t>Lipitor</t>
  </si>
  <si>
    <t>5mg x dia y llevo varios años</t>
  </si>
  <si>
    <t>Virginia Maekanehisa</t>
  </si>
  <si>
    <t>vmaekanehisa@gmail.com</t>
  </si>
  <si>
    <t>Cancer</t>
  </si>
  <si>
    <t>Tamoxifeno 20 mg</t>
  </si>
  <si>
    <t>Todos los días, un mes</t>
  </si>
  <si>
    <t>base, corrector</t>
  </si>
  <si>
    <t xml:space="preserve">Luis Marcelo Sansogne </t>
  </si>
  <si>
    <t>marcelosansogne@hotmail.com</t>
  </si>
  <si>
    <t>Estela Valenzuela</t>
  </si>
  <si>
    <t>e_valenzuela73@yahoo.com.ar</t>
  </si>
  <si>
    <t>1.53</t>
  </si>
  <si>
    <t>Paulina Labovsky</t>
  </si>
  <si>
    <t>paulabovsky@yahoo.com.ar</t>
  </si>
  <si>
    <t xml:space="preserve">Castaño </t>
  </si>
  <si>
    <t>Acné, Rosácea</t>
  </si>
  <si>
    <t xml:space="preserve">Astorvastatina, Nexium Omeprazol, aspirineta </t>
  </si>
  <si>
    <t xml:space="preserve">Astorvastatina hace 1 año , Nexium hace 1año Aspirineta idem </t>
  </si>
  <si>
    <t>Dora Migueli</t>
  </si>
  <si>
    <t>dmiguelidm@gmail.com</t>
  </si>
  <si>
    <t>1.50</t>
  </si>
  <si>
    <t>Manchas en la cara</t>
  </si>
  <si>
    <t>Receta magistral artrosis</t>
  </si>
  <si>
    <t>Todos los dias hace 5 años</t>
  </si>
  <si>
    <t>base</t>
  </si>
  <si>
    <t>Veronica Vaccalluzzo</t>
  </si>
  <si>
    <t>vvaccalluzzo@gmail.com</t>
  </si>
  <si>
    <t xml:space="preserve">Adriana De Siervi </t>
  </si>
  <si>
    <t>adrianadesiervi@gmail.com</t>
  </si>
  <si>
    <t xml:space="preserve">Cáncer, prediabetes </t>
  </si>
  <si>
    <t>Metformina, hidrenox A</t>
  </si>
  <si>
    <t>Todos los días. Más de 1 año</t>
  </si>
  <si>
    <t>MANUAL</t>
  </si>
  <si>
    <t>Ignacio Dei-Cas</t>
  </si>
  <si>
    <t>Grises</t>
  </si>
  <si>
    <t>Infarto Agudo Miocardio</t>
  </si>
  <si>
    <t>AAS</t>
  </si>
  <si>
    <t>diaria</t>
  </si>
  <si>
    <t>3 años</t>
  </si>
  <si>
    <t>no se envia no hay mail</t>
  </si>
  <si>
    <t>Alberto Penas</t>
  </si>
  <si>
    <t>Morocho</t>
  </si>
  <si>
    <t>pantoprazol</t>
  </si>
  <si>
    <t>Mariela Lenze</t>
  </si>
  <si>
    <t>marielalenze@gmail.com</t>
  </si>
  <si>
    <t>Talasemia</t>
  </si>
  <si>
    <t>Kimberley Pardo</t>
  </si>
  <si>
    <t>pardokimberley@gmail.com</t>
  </si>
  <si>
    <t>Madre con cancer de mama curado.</t>
  </si>
  <si>
    <t>Keila Roth</t>
  </si>
  <si>
    <t xml:space="preserve">keilaroth@hotmail.com </t>
  </si>
  <si>
    <t>Todos los días, hace 10 años</t>
  </si>
  <si>
    <t xml:space="preserve">Candelaria Villanueva </t>
  </si>
  <si>
    <t>candevillanueva@hotmail.com</t>
  </si>
  <si>
    <t>De Giusto Francesco</t>
  </si>
  <si>
    <t>francescodegiusto@gmail.com</t>
  </si>
  <si>
    <t>Acido folico, debido a talasemia</t>
  </si>
  <si>
    <t>Diariamente, desde siempre, la talasemia es cronica</t>
  </si>
  <si>
    <t xml:space="preserve">Ivan Bortolus </t>
  </si>
  <si>
    <t>ivanbortolus@gmail.com</t>
  </si>
  <si>
    <t>Guadalupe Benavidez</t>
  </si>
  <si>
    <t>guadi.m.benavidez@gmail.com</t>
  </si>
  <si>
    <t>Tiroiditis Hashimoto tengo</t>
  </si>
  <si>
    <t>Hace mas de 20  años, a diario</t>
  </si>
  <si>
    <t>crema con color con proteccion 50, sombras ojos, rimel</t>
  </si>
  <si>
    <t>Heli Miranda Ahumada</t>
  </si>
  <si>
    <t>heliahu@gmail.com</t>
  </si>
  <si>
    <t>Dafne sidlik</t>
  </si>
  <si>
    <t>dafna.sidlik@hotmail.com</t>
  </si>
  <si>
    <t>manual suegro de pufo</t>
  </si>
  <si>
    <t>Sandro Belforte</t>
  </si>
  <si>
    <t>sandro_belforte@yahoo.com.ar</t>
  </si>
  <si>
    <t>Sme coronario agudo</t>
  </si>
  <si>
    <t>Carvedilol, Valsartán, AAS, Rosuvastatina, Alplazolam</t>
  </si>
  <si>
    <t>Diaria 15 años</t>
  </si>
  <si>
    <t>11-50</t>
  </si>
  <si>
    <t>&gt;10</t>
  </si>
  <si>
    <t xml:space="preserve">Natalia Tobar </t>
  </si>
  <si>
    <t>nataliaetobar@gmail.com</t>
  </si>
  <si>
    <t>1.58</t>
  </si>
  <si>
    <t>Alejandra maman</t>
  </si>
  <si>
    <t>alcohen125@hotmail.com</t>
  </si>
  <si>
    <t>Luciana Altuna</t>
  </si>
  <si>
    <t>Luxxan@gmail.com</t>
  </si>
  <si>
    <t xml:space="preserve">Endometriosis </t>
  </si>
  <si>
    <t>Dermatitis atópica, Rosácea</t>
  </si>
  <si>
    <t xml:space="preserve">Analgesico y miorelajante / diu mirena </t>
  </si>
  <si>
    <t xml:space="preserve">Según dolor de cervicales </t>
  </si>
  <si>
    <t>ANA MARIA EIJAN</t>
  </si>
  <si>
    <t>anamariaeijan@gmail.com</t>
  </si>
  <si>
    <t>he sido operada de un tumorcito basocelular en la cara</t>
  </si>
  <si>
    <t>dexopral</t>
  </si>
  <si>
    <t>1 por dia, 4 años</t>
  </si>
  <si>
    <t xml:space="preserve">Ana Glembotsky </t>
  </si>
  <si>
    <t xml:space="preserve">Anaglem@gmail.com </t>
  </si>
  <si>
    <t xml:space="preserve">Ricardo Rivero </t>
  </si>
  <si>
    <t>riveroricardofabian@gmail.com</t>
  </si>
  <si>
    <t>Hipertensión</t>
  </si>
  <si>
    <t>3 o más veces por día</t>
  </si>
  <si>
    <t>Marcela Marini</t>
  </si>
  <si>
    <t>marcelaguadalupemarini@gmail.com</t>
  </si>
  <si>
    <t>base compacta cremosa</t>
  </si>
  <si>
    <t>Marianella Rivero</t>
  </si>
  <si>
    <t>marianellabelenrivero@gmail.com</t>
  </si>
  <si>
    <t>1.47</t>
  </si>
  <si>
    <t>Gustavo Ariel Gago</t>
  </si>
  <si>
    <t>Gustavogago@hotmail.com</t>
  </si>
  <si>
    <t>01164132110</t>
  </si>
  <si>
    <t>1.76</t>
  </si>
  <si>
    <t>Vanesa Marini</t>
  </si>
  <si>
    <t>vanesamarini@hotmail.com</t>
  </si>
  <si>
    <t xml:space="preserve">mariana novacovsky </t>
  </si>
  <si>
    <t>marunovacovsky@gmail.com</t>
  </si>
  <si>
    <t>01144109295</t>
  </si>
  <si>
    <t>hiperpigmentacion por el sol</t>
  </si>
  <si>
    <t>atorvastatina  y rivotril</t>
  </si>
  <si>
    <t>atorvastatina diaria desdechace 2 meses . rivotril 050mg diarios desde 2020</t>
  </si>
  <si>
    <t>Laura Lopez</t>
  </si>
  <si>
    <t>laubealo@gmail.com</t>
  </si>
  <si>
    <t>base,polvo, rubor</t>
  </si>
  <si>
    <t>Sandra Molero</t>
  </si>
  <si>
    <t>San.molero@gmail.com</t>
  </si>
  <si>
    <t>DAFLON 500, Atorvastatina 10 mg</t>
  </si>
  <si>
    <t>A diario, hace más de 10 años</t>
  </si>
  <si>
    <t xml:space="preserve">Gladys silva </t>
  </si>
  <si>
    <t xml:space="preserve">Silvagladys06@hotmail.com </t>
  </si>
  <si>
    <t>Barcala Mariela</t>
  </si>
  <si>
    <t>tomo ignacio hospital</t>
  </si>
  <si>
    <t>Pamela Morena</t>
  </si>
  <si>
    <t>alergia ambiental</t>
  </si>
  <si>
    <t>Barbara Olekson</t>
  </si>
  <si>
    <t>Fib auricular</t>
  </si>
  <si>
    <t>Bisoprolol - Flucainida</t>
  </si>
  <si>
    <t>1 mes</t>
  </si>
  <si>
    <t>María Velarde</t>
  </si>
  <si>
    <t>DBI - HTA</t>
  </si>
  <si>
    <t>metformina-losartan-</t>
  </si>
  <si>
    <t>8 años</t>
  </si>
  <si>
    <t>Micaela Fernandez</t>
  </si>
  <si>
    <t>hipertiroidismo</t>
  </si>
  <si>
    <t>Cristina Cantagallo</t>
  </si>
  <si>
    <t>Corrector de ojeras</t>
  </si>
  <si>
    <t>Jael Baldassarini</t>
  </si>
  <si>
    <t>aco</t>
  </si>
  <si>
    <t>Mercedes Acuña</t>
  </si>
  <si>
    <t>infarto de miocardio</t>
  </si>
  <si>
    <t>varios</t>
  </si>
  <si>
    <t>Alicia Beraldi</t>
  </si>
  <si>
    <t>hipotiroidismo-HTA-DBT</t>
  </si>
  <si>
    <t>10 años</t>
  </si>
  <si>
    <t>Anabela Godoy</t>
  </si>
  <si>
    <t>Gabriel Gutierrez</t>
  </si>
  <si>
    <t>Alejo Macuzo</t>
  </si>
  <si>
    <t xml:space="preserve">Hector Salto </t>
  </si>
  <si>
    <t>asma bronquial</t>
  </si>
  <si>
    <t>20 años</t>
  </si>
  <si>
    <t xml:space="preserve">Ivan Bonzo </t>
  </si>
  <si>
    <t>1.8</t>
  </si>
  <si>
    <t>Alejandro Ogas</t>
  </si>
  <si>
    <t>Luis Correa</t>
  </si>
  <si>
    <t>Insuficiencia renal</t>
  </si>
  <si>
    <t>Omeprazol-Losartan</t>
  </si>
  <si>
    <t>Franklin Miranda</t>
  </si>
  <si>
    <t>HTA</t>
  </si>
  <si>
    <t>Enalapril</t>
  </si>
  <si>
    <t>2 años</t>
  </si>
  <si>
    <t>Luis Morillo</t>
  </si>
  <si>
    <t>Rodolfo Rios</t>
  </si>
  <si>
    <t>DBT2 - HTA</t>
  </si>
  <si>
    <t>no recuerda</t>
  </si>
  <si>
    <t>Leandro Parra</t>
  </si>
  <si>
    <t>Denise Risnik</t>
  </si>
  <si>
    <t>denurisnik@gmail.com</t>
  </si>
  <si>
    <t>Lucia Marinot</t>
  </si>
  <si>
    <t>Alergia</t>
  </si>
  <si>
    <t>Maria Elena Saravi</t>
  </si>
  <si>
    <t>mariaelenasaravi@gmail.com</t>
  </si>
  <si>
    <t>osteoporosis</t>
  </si>
  <si>
    <t>Rosácea, Otra</t>
  </si>
  <si>
    <t>he tenido pequeños carcinomas y me los han sacado</t>
  </si>
  <si>
    <t>ibandronato</t>
  </si>
  <si>
    <t>1 vez por mes hace 5 meses</t>
  </si>
  <si>
    <t>Athina Sartorio</t>
  </si>
  <si>
    <t>Athina.sartorio@gmail.com</t>
  </si>
  <si>
    <t xml:space="preserve">Anticonceptivos </t>
  </si>
  <si>
    <t>Todos los días, desde 2018</t>
  </si>
  <si>
    <t>Andrea Larangeira</t>
  </si>
  <si>
    <t>andrealarangeira@gmail.com</t>
  </si>
  <si>
    <t>PIel Mixta</t>
  </si>
  <si>
    <t>Maria Eugenia Real</t>
  </si>
  <si>
    <t>meugereal@gmail.com</t>
  </si>
  <si>
    <t xml:space="preserve">Agustina Battilana </t>
  </si>
  <si>
    <t xml:space="preserve">agustinabattilana01@gmail.com </t>
  </si>
  <si>
    <t>Catalina Lava</t>
  </si>
  <si>
    <t>cataa.lavaa@gmail.com</t>
  </si>
  <si>
    <t>mascarilla,tintura cejas</t>
  </si>
  <si>
    <t>AG</t>
  </si>
  <si>
    <t>Marisa Vagnoni</t>
  </si>
  <si>
    <t>marisavagnoni@hotmail.com</t>
  </si>
  <si>
    <t>polvos</t>
  </si>
  <si>
    <t>Roxana de Anna</t>
  </si>
  <si>
    <t>roxdeanna@hotmail.com</t>
  </si>
  <si>
    <t>Reflujo</t>
  </si>
  <si>
    <t xml:space="preserve">Todas las mañanas. 
</t>
  </si>
  <si>
    <t xml:space="preserve">Karina Vagnoni </t>
  </si>
  <si>
    <t>Karovagnoni@hotmail.com</t>
  </si>
  <si>
    <t xml:space="preserve">María Candela Abbruzzese </t>
  </si>
  <si>
    <t>Abbru31502@gmail.com</t>
  </si>
  <si>
    <t>Asma</t>
  </si>
  <si>
    <t xml:space="preserve">Diariamente </t>
  </si>
  <si>
    <t>Julio César Real</t>
  </si>
  <si>
    <t>Hipertenso</t>
  </si>
  <si>
    <t>Medicamento para presion</t>
  </si>
  <si>
    <t>Todos los días. Hace 10 año</t>
  </si>
  <si>
    <t>Maria Emilia Collados</t>
  </si>
  <si>
    <t>marie.collados@gmail.com</t>
  </si>
  <si>
    <t>Cancer de mama</t>
  </si>
  <si>
    <t>Quetiapina , Rivotril , Lamotrigina. Levotiroxina sódica</t>
  </si>
  <si>
    <t xml:space="preserve">Quetiapina, Rivotril y Lamotrigina 1 vez al dia todos los dias. Levotiroxina todos los dias, 1 vez al día </t>
  </si>
  <si>
    <t>Vanesa Hauk</t>
  </si>
  <si>
    <t>vchauk@gmail.com</t>
  </si>
  <si>
    <t>1.71</t>
  </si>
  <si>
    <t>Lautaro Destribats</t>
  </si>
  <si>
    <t>lautaro.destribats@hotmail.com</t>
  </si>
  <si>
    <t>Manuel Heinrich</t>
  </si>
  <si>
    <t>Manuheinrich1@gmail.com</t>
  </si>
  <si>
    <t>Pablo  Dei-Cas</t>
  </si>
  <si>
    <t>tiroiditis</t>
  </si>
  <si>
    <t>Dodyc Fabian</t>
  </si>
  <si>
    <t>Hipertensión Arterial</t>
  </si>
  <si>
    <t>Evalgil</t>
  </si>
  <si>
    <t>Teresa Huzjan</t>
  </si>
  <si>
    <t>Adronar</t>
  </si>
  <si>
    <t>Julia Tabara</t>
  </si>
  <si>
    <t>Aurora Beatriz Rogic</t>
  </si>
  <si>
    <t>Hipertensión arterial</t>
  </si>
  <si>
    <t>Enolopriol 10 mg inlodipinc</t>
  </si>
  <si>
    <t>Uso diario. Hace 10 años.</t>
  </si>
  <si>
    <t>Javier Orlenog</t>
  </si>
  <si>
    <t>Francisco Issa</t>
  </si>
  <si>
    <t>1.86</t>
  </si>
  <si>
    <t>Iacob Bravo</t>
  </si>
  <si>
    <t>mascara de pestañas</t>
  </si>
  <si>
    <t>KevIn Moreira</t>
  </si>
  <si>
    <t>outlier</t>
  </si>
  <si>
    <t>Rodolfo Herrera</t>
  </si>
  <si>
    <t>Diabetes tipo II</t>
  </si>
  <si>
    <t>Damian Barrios</t>
  </si>
  <si>
    <t>Diabetes-Hipertension art.</t>
  </si>
  <si>
    <t>metformina</t>
  </si>
  <si>
    <t>Miguel Ramos</t>
  </si>
  <si>
    <t>Infarto Agudo del Miocardio</t>
  </si>
  <si>
    <t>Aspirina</t>
  </si>
  <si>
    <t>Luis Miguel Conde</t>
  </si>
  <si>
    <t>Epilepsia</t>
  </si>
  <si>
    <t>Fenobarbital-carbamazepina-lercretal</t>
  </si>
  <si>
    <t>Pablo Mejia</t>
  </si>
  <si>
    <t>Diabetes Tipo II</t>
  </si>
  <si>
    <t>Metformina</t>
  </si>
  <si>
    <t>Hace 9 años</t>
  </si>
  <si>
    <t>Ernesto Nuñex</t>
  </si>
  <si>
    <t>hipercolesterol- hipertension arterial</t>
  </si>
  <si>
    <t>losacor - diurex - linus - carvedilol - fenotiazina</t>
  </si>
  <si>
    <t>Juan Martinez</t>
  </si>
  <si>
    <t>David Valencia</t>
  </si>
  <si>
    <t>Hipertrofia prostatica</t>
  </si>
  <si>
    <t xml:space="preserve">Tamsulosina </t>
  </si>
  <si>
    <t>Angel Revello</t>
  </si>
  <si>
    <t>Hipertrofia Prostatica</t>
  </si>
  <si>
    <t>Tamsulosina</t>
  </si>
  <si>
    <t>Mariel Edgar</t>
  </si>
  <si>
    <t xml:space="preserve">Remigio Espinosa </t>
  </si>
  <si>
    <t>Sofia Ojea</t>
  </si>
  <si>
    <t>sofiaojea11@gmail.com</t>
  </si>
  <si>
    <t>Andrea Squassini</t>
  </si>
  <si>
    <t>neasquassini@gmail.com</t>
  </si>
  <si>
    <t>Cáncer de mama</t>
  </si>
  <si>
    <t>Delineador</t>
  </si>
  <si>
    <t xml:space="preserve">Santiago Prado </t>
  </si>
  <si>
    <t xml:space="preserve">Prado.santiago14@gmail.com </t>
  </si>
  <si>
    <t xml:space="preserve">Dutasteride 0.5 mg / día </t>
  </si>
  <si>
    <t>Hace más de 6 meses</t>
  </si>
  <si>
    <t>Maria Fernanda Squassini</t>
  </si>
  <si>
    <t xml:space="preserve">Fernandasquassini@gmail.com </t>
  </si>
  <si>
    <t>Carcinoma baso celular</t>
  </si>
  <si>
    <t>Benzodiacepina y escitalopram</t>
  </si>
  <si>
    <t>Diario</t>
  </si>
  <si>
    <t>Tapa ojeras y delineador</t>
  </si>
  <si>
    <t xml:space="preserve">Silvina Pradier </t>
  </si>
  <si>
    <t>pradierfava@yahoo.com.ar</t>
  </si>
  <si>
    <t xml:space="preserve">Hipotiroidismo Hipertensión </t>
  </si>
  <si>
    <t xml:space="preserve">Levotiroxina Aspirina Pirindopril Diltiazem Rosuvastatina </t>
  </si>
  <si>
    <t>Diariamente. Años</t>
  </si>
  <si>
    <t>Diana Contreras Huamani</t>
  </si>
  <si>
    <t>cont.diana1@gmail.com</t>
  </si>
  <si>
    <t>1.5</t>
  </si>
  <si>
    <t>Base,rubor y sombras</t>
  </si>
  <si>
    <t>Joaquin Cami</t>
  </si>
  <si>
    <t>joaquincami97@gmail.com</t>
  </si>
  <si>
    <t xml:space="preserve">Yeisser Javier Díaz Gutiérrez </t>
  </si>
  <si>
    <t>yeiserd@gmail.com</t>
  </si>
  <si>
    <t>Maria Victoria Paladino</t>
  </si>
  <si>
    <t>paladino.victoria@gmail.com</t>
  </si>
  <si>
    <t>Base y rimel</t>
  </si>
  <si>
    <t>María José Clariá</t>
  </si>
  <si>
    <t xml:space="preserve">Majoclaria@yahoo.com.ar </t>
  </si>
  <si>
    <t xml:space="preserve">Cada mañana </t>
  </si>
  <si>
    <t>Santiago Spector</t>
  </si>
  <si>
    <t>Santiagospector@gmail.com</t>
  </si>
  <si>
    <t>Cesar Camusso</t>
  </si>
  <si>
    <t>Cesarcamusso@gmail.com</t>
  </si>
  <si>
    <t>Lunares</t>
  </si>
  <si>
    <t xml:space="preserve">Merea Gonzalo </t>
  </si>
  <si>
    <t>gonzalomerea@gmail.com</t>
  </si>
  <si>
    <t>Finasteride</t>
  </si>
  <si>
    <t xml:space="preserve">1 por día 8 años </t>
  </si>
  <si>
    <t>Delfina Yrizarre</t>
  </si>
  <si>
    <t>delfinayrizarre@hotmail.com</t>
  </si>
  <si>
    <t xml:space="preserve">Espironolactona  </t>
  </si>
  <si>
    <t>Todas las noches, desde noviembre 2022</t>
  </si>
  <si>
    <t xml:space="preserve">Claudia Kenigsberg </t>
  </si>
  <si>
    <t>claudiakenigsberg@gmail.com</t>
  </si>
  <si>
    <t xml:space="preserve">Hipotiroidismo- presion </t>
  </si>
  <si>
    <t xml:space="preserve">Manchas de sol </t>
  </si>
  <si>
    <t>Levotiroxina 75mg y amlodipina 5g</t>
  </si>
  <si>
    <t xml:space="preserve">14 y 8 años </t>
  </si>
  <si>
    <t>Rimel y Delineador</t>
  </si>
  <si>
    <t>Valentina Perez</t>
  </si>
  <si>
    <t>Valentinakiaraperez@gmail.com</t>
  </si>
  <si>
    <t>Claudia varela</t>
  </si>
  <si>
    <t>claupato11@gmail.com</t>
  </si>
  <si>
    <t xml:space="preserve">Tengo piel sensible </t>
  </si>
  <si>
    <t>Solo paff para el asma</t>
  </si>
  <si>
    <t>Trinidad Faccini</t>
  </si>
  <si>
    <t>trinidadfaccini01@gmail.com</t>
  </si>
  <si>
    <t>Vanesa Rodriguez</t>
  </si>
  <si>
    <t>licvanesarodriguezgarcia@gmail.com</t>
  </si>
  <si>
    <t>Vitiligo</t>
  </si>
  <si>
    <t>Julio 2022</t>
  </si>
  <si>
    <t>Valeria Conforte</t>
  </si>
  <si>
    <t>vconforte@gmail.com</t>
  </si>
  <si>
    <t>Dermatitis por contacto</t>
  </si>
  <si>
    <t>Maria Lorena Ogas Castells</t>
  </si>
  <si>
    <t>lorenaogas@hotmail.com</t>
  </si>
  <si>
    <t>Levotiroxina 50</t>
  </si>
  <si>
    <t>todos los dias, hace 2 años</t>
  </si>
  <si>
    <t>Mora García</t>
  </si>
  <si>
    <t>mora.garcia@hotmail.com.ar</t>
  </si>
  <si>
    <t xml:space="preserve">Metronidazol tópico </t>
  </si>
  <si>
    <t>2 veces por día, hace 6 meses</t>
  </si>
  <si>
    <t>Belen Maria Lago</t>
  </si>
  <si>
    <t>lagobelenm@gmail.com</t>
  </si>
  <si>
    <t>Tatiana Goldman</t>
  </si>
  <si>
    <t>tatigoldman@gmail.com</t>
  </si>
  <si>
    <t>Corina Safar</t>
  </si>
  <si>
    <t>cori.safar@gmail.com</t>
  </si>
  <si>
    <t>Labial, Delineador</t>
  </si>
  <si>
    <t>Santiago Pinto Escalier</t>
  </si>
  <si>
    <t>spinto@gmail.com</t>
  </si>
  <si>
    <t>en el codo.</t>
  </si>
  <si>
    <t>andres lawson</t>
  </si>
  <si>
    <t>andreslawson@gmail.com</t>
  </si>
  <si>
    <t>Rosácea, Dermatitis Seborraica</t>
  </si>
  <si>
    <t>Roseliac para la Rosacea.  Ketoconazol para la dermatitis (shampoo)</t>
  </si>
  <si>
    <t>10 meses</t>
  </si>
  <si>
    <t>Pinto Escalier</t>
  </si>
  <si>
    <t>Mínima en un codo, pero desde hace un par de años sin ocurrencia</t>
  </si>
  <si>
    <t>Maria Belen Sanz</t>
  </si>
  <si>
    <t>Belusanz1806@gmail.com</t>
  </si>
  <si>
    <t>Levotiroxina (tengo hipotirouditis de hashimoto), anticonceptivos no esteroideos y roacutan</t>
  </si>
  <si>
    <t>Levo hace 8 años, anticonceptivos hace 6 años aprox, roacutan desde abril</t>
  </si>
  <si>
    <t>Pilar Anania</t>
  </si>
  <si>
    <t>pili.anania@gmail.com</t>
  </si>
  <si>
    <t>ACO y sertralina</t>
  </si>
  <si>
    <t>todos los dias. ACO desde los 16 y sertralina hace 1 año</t>
  </si>
  <si>
    <t>lucia de la rua</t>
  </si>
  <si>
    <t>luciadelarua1@gmail.com</t>
  </si>
  <si>
    <t>Emilia Rojas</t>
  </si>
  <si>
    <t>emimariarojas@gmail.com</t>
  </si>
  <si>
    <t>Sol Nonini</t>
  </si>
  <si>
    <t>noninisol@gmail.com</t>
  </si>
  <si>
    <t xml:space="preserve">Julieta Baglietto </t>
  </si>
  <si>
    <t>julibagli@gmail.com</t>
  </si>
  <si>
    <t>Anticonceptivos, Venlafaxina, Inductal y clonazepam</t>
  </si>
  <si>
    <t>Anticonceptivos hace 3 años y los demas desde febrero del 2021</t>
  </si>
  <si>
    <t>Mascara de pestañas, Delineador, Corrector</t>
  </si>
  <si>
    <t>Rafael Lepage</t>
  </si>
  <si>
    <t>rafaellepage@gmail.com</t>
  </si>
  <si>
    <t>Brenda Mattaloni Varona</t>
  </si>
  <si>
    <t>brendamattaloni@hotmail.com</t>
  </si>
  <si>
    <t>Acne</t>
  </si>
  <si>
    <t>Roacutan</t>
  </si>
  <si>
    <t>Desde hace 2 meses, todos los dias, dosis baja</t>
  </si>
  <si>
    <t>Piel grasa muy sensible</t>
  </si>
  <si>
    <t>Valeria Amann</t>
  </si>
  <si>
    <t>valeriaamann@hotmail.com</t>
  </si>
  <si>
    <t>CABA (Belgrano, Recoleta o Palermo)</t>
  </si>
  <si>
    <t>Martes/ Jueves por la mañana</t>
  </si>
  <si>
    <t>Paula Alfaro</t>
  </si>
  <si>
    <t>Paulaalfaro@hotmail.com</t>
  </si>
  <si>
    <t>San Isidro (Buenos Aires)</t>
  </si>
  <si>
    <t>Sol Ortiz</t>
  </si>
  <si>
    <t>Sol@mayma.org.ar</t>
  </si>
  <si>
    <t>Piel mixta</t>
  </si>
  <si>
    <t>Sábado por la mañana</t>
  </si>
  <si>
    <t>Luppi Maria Alejandra</t>
  </si>
  <si>
    <t>Aluppi@prevencionpromocion.vom.ar</t>
  </si>
  <si>
    <t xml:space="preserve">Romina ventura </t>
  </si>
  <si>
    <t>romi.s.ventura@gmail.com</t>
  </si>
  <si>
    <t>01167803641</t>
  </si>
  <si>
    <t xml:space="preserve">Tratamiento de inflamacion intestinal, estoy haciendo medicina ayurveda </t>
  </si>
  <si>
    <t xml:space="preserve">Empece hace un mes </t>
  </si>
  <si>
    <t>Malena Gutman</t>
  </si>
  <si>
    <t>malenagutman@gmail.com</t>
  </si>
  <si>
    <t xml:space="preserve">Catalina gentili </t>
  </si>
  <si>
    <t>gentilicatalina@gmail.com</t>
  </si>
  <si>
    <t xml:space="preserve">Desogestrel </t>
  </si>
  <si>
    <t>Todos los días, hace 1 año</t>
  </si>
  <si>
    <t>Lunes/ Miércoles/ Viernes por la mañana</t>
  </si>
  <si>
    <t xml:space="preserve">Noelia Cabral </t>
  </si>
  <si>
    <t>Noelia.Edith.cabral@gmail.com</t>
  </si>
  <si>
    <t>Recoleta - (CABA)</t>
  </si>
  <si>
    <t xml:space="preserve">Daniela Conte Grand </t>
  </si>
  <si>
    <t>dcontegrand@yahoo.com</t>
  </si>
  <si>
    <t>Paulina Orue</t>
  </si>
  <si>
    <t>paulina.orue98@gmail.com</t>
  </si>
  <si>
    <t>Hace 3 años</t>
  </si>
  <si>
    <t>12:40-13 hs</t>
  </si>
  <si>
    <t>Mercedes Sap</t>
  </si>
  <si>
    <t>mercedessapc@outlook.com</t>
  </si>
  <si>
    <t>11-11:20 hs</t>
  </si>
  <si>
    <t>Lya Brito</t>
  </si>
  <si>
    <t>lya.bnazareth@gmail.com</t>
  </si>
  <si>
    <t>Colorado</t>
  </si>
  <si>
    <t xml:space="preserve">Edgardo Salvatierra </t>
  </si>
  <si>
    <t>Edgar</t>
  </si>
  <si>
    <t>Carolina Palacios</t>
  </si>
  <si>
    <t>carolinapalacios111@gmail.com</t>
  </si>
  <si>
    <t>Ese día no puedo, pero me gustaría que me avisen para la próxima</t>
  </si>
  <si>
    <t xml:space="preserve">Lesly Velasquez </t>
  </si>
  <si>
    <t>les.ve.biotech@gmail.com</t>
  </si>
  <si>
    <t xml:space="preserve">Vanina Perticari </t>
  </si>
  <si>
    <t>Vperticari1977@gmail.com</t>
  </si>
  <si>
    <t xml:space="preserve">Roman Aviles </t>
  </si>
  <si>
    <t xml:space="preserve">Paschetta Mariel </t>
  </si>
  <si>
    <t>maripas36@hotmail.com</t>
  </si>
  <si>
    <t xml:space="preserve">Tiroiditis de Hashimoto </t>
  </si>
  <si>
    <t>Queratosis</t>
  </si>
  <si>
    <t>Bianca Cutuli</t>
  </si>
  <si>
    <t>biancacutuli@gmail.com</t>
  </si>
  <si>
    <t>Anticonceptivos y fluoxetina</t>
  </si>
  <si>
    <t>Todos los días, anticonceptivos hace 3 años, fluoxetina hace 3 meses</t>
  </si>
  <si>
    <t>Cecilia Mirna Tavcar</t>
  </si>
  <si>
    <t>ctavcar@hotmail.com</t>
  </si>
  <si>
    <t xml:space="preserve">Carla Madron </t>
  </si>
  <si>
    <t>Carlasmadron@gmail.com</t>
  </si>
  <si>
    <t>T4 100mg</t>
  </si>
  <si>
    <t>Todos los días. 27 años</t>
  </si>
  <si>
    <t>Candevillanueva@hotmail.com</t>
  </si>
  <si>
    <t>Mascaras, rubor, labial</t>
  </si>
  <si>
    <t>Ariadna Rodríguez Baratta</t>
  </si>
  <si>
    <t>Ariadnajazminrb@icloud.com</t>
  </si>
  <si>
    <t xml:space="preserve">1.60 </t>
  </si>
  <si>
    <t xml:space="preserve">2 años </t>
  </si>
  <si>
    <t xml:space="preserve">Antonela Bianchini </t>
  </si>
  <si>
    <t>misparquesyjardines@gmail.com</t>
  </si>
  <si>
    <t xml:space="preserve">Ezequiel Gigena </t>
  </si>
  <si>
    <t>ezeegigena@gmail.com</t>
  </si>
  <si>
    <t>1.91</t>
  </si>
  <si>
    <t>agustina.roldand@gmail.com</t>
  </si>
  <si>
    <t>Acné, Otra</t>
  </si>
  <si>
    <t xml:space="preserve">Dermatitis seborreica en cuero cabelludo </t>
  </si>
  <si>
    <t>Mercedes Pouiller</t>
  </si>
  <si>
    <t>mechu.pouiller@hotmail.com</t>
  </si>
  <si>
    <t>Enfermedad de crohn</t>
  </si>
  <si>
    <t>Upadacitinib</t>
  </si>
  <si>
    <t>Todos los dias hace 6 meses aprox</t>
  </si>
  <si>
    <t>Valeria Collard Yentel</t>
  </si>
  <si>
    <t>valeriacollardyentel@gmail.com</t>
  </si>
  <si>
    <t>Únicamente anticoncepción oral.</t>
  </si>
  <si>
    <t>Diariamente.</t>
  </si>
  <si>
    <t>Verónica vaccalluzzo</t>
  </si>
  <si>
    <t xml:space="preserve">Cristina Ramirez </t>
  </si>
  <si>
    <t>crisisramirezrojas@gmail.com</t>
  </si>
  <si>
    <t>verrugas planas</t>
  </si>
  <si>
    <t>Lapiz de labios, Máscara de Pestañas</t>
  </si>
  <si>
    <t>Lunes 6/11 de 14 a 20 hs</t>
  </si>
  <si>
    <t>Prefiero en CABA</t>
  </si>
  <si>
    <t>1 VEZ POR DÍA</t>
  </si>
  <si>
    <t>Brenda Hirigoyen</t>
  </si>
  <si>
    <t>brendahirigoyen@gmail.com</t>
  </si>
  <si>
    <t>anticonceptivos</t>
  </si>
  <si>
    <t>Viernes 17/11 de 10 a 15 hs</t>
  </si>
  <si>
    <t>Milagros Castroman</t>
  </si>
  <si>
    <t xml:space="preserve">mimilicas.mm@gmail.com </t>
  </si>
  <si>
    <t>Viernes 10/11 de 10 a 15 hs</t>
  </si>
  <si>
    <t>María Sol García</t>
  </si>
  <si>
    <t>garmariasol@gmail.com</t>
  </si>
  <si>
    <t xml:space="preserve">Azul Micaela Romero </t>
  </si>
  <si>
    <t>azu.romero29@hotmail.com</t>
  </si>
  <si>
    <t xml:space="preserve">Marrón </t>
  </si>
  <si>
    <t>Daniela Allerbon</t>
  </si>
  <si>
    <t>dallerbon@gmail.com</t>
  </si>
  <si>
    <t>Base, Máscara de pestañas, Lapiz de labios, Sombras</t>
  </si>
  <si>
    <t>Jueves de 14 a 20 hs</t>
  </si>
  <si>
    <t>Martin Blasco</t>
  </si>
  <si>
    <t>martin@eternal.bio</t>
  </si>
  <si>
    <t>Francisco Gil Garbagnoli</t>
  </si>
  <si>
    <t>francisco@food4you.bio</t>
  </si>
  <si>
    <t>1.85</t>
  </si>
  <si>
    <t>Lunes  de 14 a 20 hs</t>
  </si>
  <si>
    <t>Giuliana Dellapittima</t>
  </si>
  <si>
    <t>g.dllpttm@gmail.com</t>
  </si>
  <si>
    <t>NA</t>
  </si>
  <si>
    <t>Corrector y delineador</t>
  </si>
  <si>
    <t>Martes de 14 a 20 hs</t>
  </si>
  <si>
    <t>Esteban Silva</t>
  </si>
  <si>
    <t>esteban18silva@gmail.com</t>
  </si>
  <si>
    <t>1.93</t>
  </si>
  <si>
    <t>Valeria Marcello</t>
  </si>
  <si>
    <t>valeriamarcello@gmail.com</t>
  </si>
  <si>
    <t>1-10</t>
  </si>
  <si>
    <t>Base, Máscara de pestañas, Lapiz de labios, corrector</t>
  </si>
  <si>
    <t>Viernes de 10 a 15 hs</t>
  </si>
  <si>
    <t xml:space="preserve">Marisa Pascuzzi </t>
  </si>
  <si>
    <t>marupascuzzi@gmail.com</t>
  </si>
  <si>
    <t>Máscara de pestañas, Lapiz de labios</t>
  </si>
  <si>
    <t>catalina santana</t>
  </si>
  <si>
    <t>catasantana05@gmail.com</t>
  </si>
  <si>
    <t>Máscara de pestañas, Lapiz de labios, corrector y rubor</t>
  </si>
  <si>
    <t>Octavio Cagnoli</t>
  </si>
  <si>
    <t>octaviocagnoli@gmail.com</t>
  </si>
  <si>
    <t>Lamotrigina. Seroquel. Anticonceptivos. Clonazepam. Litio</t>
  </si>
  <si>
    <t>Prefiero en San Isidro</t>
  </si>
  <si>
    <t>11 a 11:20 hs</t>
  </si>
  <si>
    <t>Malena Lanza</t>
  </si>
  <si>
    <t>malena.lanza@gmail.com</t>
  </si>
  <si>
    <t>urticaria idiopática</t>
  </si>
  <si>
    <t>Antiistamínicos (fexofenadina)</t>
  </si>
  <si>
    <t>11-20</t>
  </si>
  <si>
    <t>Base, Máscara de pestañas</t>
  </si>
  <si>
    <t xml:space="preserve">Cecilia Castiglioni </t>
  </si>
  <si>
    <t>Cecicasti2008@hotmail.com</t>
  </si>
  <si>
    <t>Base, Máscara de pestañas, Lapiz de labios</t>
  </si>
  <si>
    <t>Martin Rivero</t>
  </si>
  <si>
    <t>manual</t>
  </si>
  <si>
    <t>Macarena Romero</t>
  </si>
  <si>
    <t>max.romero95@hotmail.com</t>
  </si>
  <si>
    <t>Máscara de pestañas</t>
  </si>
  <si>
    <t>Tomo Valeria 30/10/2023</t>
  </si>
  <si>
    <t xml:space="preserve">María Avalos </t>
  </si>
  <si>
    <t>avalosmaria1997@gmail.com</t>
  </si>
  <si>
    <t>Camila Carballo</t>
  </si>
  <si>
    <t>carballoacamila@gmail.com</t>
  </si>
  <si>
    <t>Fibrosis Quística</t>
  </si>
  <si>
    <t>Acné, Dermatitis seborreica</t>
  </si>
  <si>
    <t>Vitaminas, enzimas pancreáticas, modulador genético</t>
  </si>
  <si>
    <t>Carina Altman</t>
  </si>
  <si>
    <t>carialtman@hotmail.com</t>
  </si>
  <si>
    <t>Isosorbide por espasmo de Oddi</t>
  </si>
  <si>
    <t>Valentina Arena</t>
  </si>
  <si>
    <t>valuarena@hotmail.com</t>
  </si>
  <si>
    <t>Máscara de pestañas, Sombras</t>
  </si>
  <si>
    <t>Lunes de 14:00 a 18:00 hs</t>
  </si>
  <si>
    <t xml:space="preserve">Demian Comba </t>
  </si>
  <si>
    <t>demiancomba@hotmail.com</t>
  </si>
  <si>
    <t>Alopecia areata</t>
  </si>
  <si>
    <t>Miércoles de 14:00 a 18:00 hs</t>
  </si>
  <si>
    <t>María Laura Trotta</t>
  </si>
  <si>
    <t>mlauratrotta@gmail.com</t>
  </si>
  <si>
    <t>Martes de 14:00 a 18:00 hs</t>
  </si>
  <si>
    <t>Kevin Morhac</t>
  </si>
  <si>
    <t>morhackevin@gmail.com</t>
  </si>
  <si>
    <t>Viernes de 10:00 a 14:00 hs</t>
  </si>
  <si>
    <t xml:space="preserve">Agustin Blacker </t>
  </si>
  <si>
    <t>Agustinblacker@gmail.com</t>
  </si>
  <si>
    <t>María Lucía Campos</t>
  </si>
  <si>
    <t>Marialucampos@hotmail.com</t>
  </si>
  <si>
    <t xml:space="preserve">Fluconazol </t>
  </si>
  <si>
    <t>Semanal</t>
  </si>
  <si>
    <t>1/19/0024</t>
  </si>
  <si>
    <t>Base, Máscara de pestañas, Sombras</t>
  </si>
  <si>
    <t>Gabriela Montecchiesi</t>
  </si>
  <si>
    <t>gabymonte8@hotmail.com</t>
  </si>
  <si>
    <t>01550410579</t>
  </si>
  <si>
    <t>Dermatitis seborreica, Rosácea</t>
  </si>
  <si>
    <t>Base</t>
  </si>
  <si>
    <t>Sofia Belen Paez Soria</t>
  </si>
  <si>
    <t>Sofiapaezsoria@gmail.com</t>
  </si>
  <si>
    <t>Tuve un Sarcoma de utero de bajo grado por lo que me realizaron una anexohisterectomia, rosacea leve</t>
  </si>
  <si>
    <t xml:space="preserve">Anastrozol </t>
  </si>
  <si>
    <t>Máscara de pestañas, Lapiz de labios, Sombras</t>
  </si>
  <si>
    <t>Bárbara Morales Groschopp</t>
  </si>
  <si>
    <t>moralesgroschoppb@gmail.com</t>
  </si>
  <si>
    <t xml:space="preserve">Monica Dauner </t>
  </si>
  <si>
    <t>Daumoga@gmail.com</t>
  </si>
  <si>
    <t>Rosuvastatina</t>
  </si>
  <si>
    <t xml:space="preserve">Bárbara bravo </t>
  </si>
  <si>
    <t>Barbibravo7@gmail.com</t>
  </si>
  <si>
    <t>Agustina Lambertini</t>
  </si>
  <si>
    <t>Agus.lambertini@hotmail.com</t>
  </si>
  <si>
    <t>daniela gigirey</t>
  </si>
  <si>
    <t>dani.gigi@hotmail.com</t>
  </si>
  <si>
    <t>Asma bronquial</t>
  </si>
  <si>
    <t>Frevia</t>
  </si>
  <si>
    <t>Jueves de 14:00 a 18:00 hs</t>
  </si>
  <si>
    <t>Mariana Prado</t>
  </si>
  <si>
    <t>Manaaprado@gmail.com</t>
  </si>
  <si>
    <t>Irc</t>
  </si>
  <si>
    <t>2 o más veces por día</t>
  </si>
  <si>
    <t>Sylvia Mikuletz</t>
  </si>
  <si>
    <t>smikuletz@gmail.com</t>
  </si>
  <si>
    <t>Pablo Gigirey</t>
  </si>
  <si>
    <t>gigireyp@gmail.com</t>
  </si>
  <si>
    <t>Agustina Gigirey</t>
  </si>
  <si>
    <t>agustinagigirey@gmail.com</t>
  </si>
  <si>
    <t xml:space="preserve">Viviana Balmaceda Cabral </t>
  </si>
  <si>
    <t>Paula nattero</t>
  </si>
  <si>
    <t>Paulanattero@live.com.ar</t>
  </si>
  <si>
    <t>Michella Braccalenti Soto</t>
  </si>
  <si>
    <t>mbraccalentisoto@uade.edu.ar</t>
  </si>
  <si>
    <t xml:space="preserve">endometriosis </t>
  </si>
  <si>
    <t xml:space="preserve">dienogest 2 mg / clonazepam </t>
  </si>
  <si>
    <t>Rosanell Troisi</t>
  </si>
  <si>
    <t>rosath.93@gmail.com</t>
  </si>
  <si>
    <t>Maria Laura Diaz</t>
  </si>
  <si>
    <t>laudiazschiavi@gmail.com</t>
  </si>
  <si>
    <t>corrector</t>
  </si>
  <si>
    <t>Samanta Ardone</t>
  </si>
  <si>
    <t>samantardone@gmail.com</t>
  </si>
  <si>
    <t>Paola Baptista</t>
  </si>
  <si>
    <t>paolaabg.1@gmail.com</t>
  </si>
  <si>
    <t xml:space="preserve">Brenda salvatierra Campos </t>
  </si>
  <si>
    <t>Bsalvatierra14@gmail.com</t>
  </si>
  <si>
    <t>Elisabeth Gabriela Walser</t>
  </si>
  <si>
    <t>eliwalser@hotmail.com</t>
  </si>
  <si>
    <t>María José Cabanillas</t>
  </si>
  <si>
    <t>marijcabanillas@gmail.com</t>
  </si>
  <si>
    <t>Base, Sombras</t>
  </si>
  <si>
    <t>Matias Lomniczy</t>
  </si>
  <si>
    <t>lomniczymatyas@yahoo.com.ar</t>
  </si>
  <si>
    <t>Algunos brotes rojos, creo que nada importante</t>
  </si>
  <si>
    <t xml:space="preserve">Barbara González </t>
  </si>
  <si>
    <t>barbara.80@live.com.ar</t>
  </si>
  <si>
    <t>Claudia Carina Gramajo</t>
  </si>
  <si>
    <t>Claudiacgramajo77@gmail.com</t>
  </si>
  <si>
    <t>Susana Kokron</t>
  </si>
  <si>
    <t>Skokron@gmail.com</t>
  </si>
  <si>
    <t>Levotiroxina 88mg y centrum +50 mujer</t>
  </si>
  <si>
    <t>Mariana Pia Gilardi</t>
  </si>
  <si>
    <t>mariana.gilardi@gmail.com</t>
  </si>
  <si>
    <t>Endometriosis</t>
  </si>
  <si>
    <t xml:space="preserve">Lautaro Oliveto </t>
  </si>
  <si>
    <t>lautioliveto@hotmail.com</t>
  </si>
  <si>
    <t>Finasteride 1mg</t>
  </si>
  <si>
    <t xml:space="preserve">jazmin ijurco </t>
  </si>
  <si>
    <t>jazmin.ijurco@gmail.com</t>
  </si>
  <si>
    <t xml:space="preserve">hipotiroidismo </t>
  </si>
  <si>
    <t>Guadalupe Fantin Barraco</t>
  </si>
  <si>
    <t>Adafantinbarraco@gmail.com</t>
  </si>
  <si>
    <t xml:space="preserve">Camila Maria Beltramo </t>
  </si>
  <si>
    <t>beltramocami@gmail.com</t>
  </si>
  <si>
    <t xml:space="preserve">Ninguna, </t>
  </si>
  <si>
    <t xml:space="preserve">Martin Jose Abella de Elizalde </t>
  </si>
  <si>
    <t>tintoabella@gmail.com</t>
  </si>
  <si>
    <t xml:space="preserve">Sombras, Corrector </t>
  </si>
  <si>
    <t>Patricia Worzel</t>
  </si>
  <si>
    <t>patoworzel@gmail.com</t>
  </si>
  <si>
    <t>Paloma martinez</t>
  </si>
  <si>
    <t>Palomi07.pm@gmail.com</t>
  </si>
  <si>
    <t>Lunes 29/07 de 14:00 a 18:00 hs</t>
  </si>
  <si>
    <t>MB</t>
  </si>
  <si>
    <t>Mariana Castro</t>
  </si>
  <si>
    <t>marianacastro98@gmail.com</t>
  </si>
  <si>
    <t xml:space="preserve">Ocasionalmente acné </t>
  </si>
  <si>
    <t>Viernes 02/08 de 14:00 a 18:00 hs</t>
  </si>
  <si>
    <t>Sabgina vignolo</t>
  </si>
  <si>
    <t>Sabrivignolo@hotmail.com</t>
  </si>
  <si>
    <t xml:space="preserve">Máscara de pestañas, Lapiz de labios, Corrector de ojeras </t>
  </si>
  <si>
    <t>Miércoles 31/07 de 14:00 a 18:00 hs</t>
  </si>
  <si>
    <t>Triana Ficca</t>
  </si>
  <si>
    <t>Trianaficca97@gmail.com</t>
  </si>
  <si>
    <t>Insulino resistencia</t>
  </si>
  <si>
    <t xml:space="preserve">Tengo uan erupcion en axilas y pliegues que no se bien que es </t>
  </si>
  <si>
    <t xml:space="preserve">Iñaki Iribarne </t>
  </si>
  <si>
    <t>iiribarne@hotmail.com</t>
  </si>
  <si>
    <t>Jueves 01/08 de 09:00 a 13:00 hs</t>
  </si>
  <si>
    <t xml:space="preserve">Carolina Bertini </t>
  </si>
  <si>
    <t>carolagomezbertini@gmail.com</t>
  </si>
  <si>
    <t>Martes 30/07 de 14:00 a 18:00 hs</t>
  </si>
  <si>
    <t>Daiana amarante</t>
  </si>
  <si>
    <t>daais238@gmail.com</t>
  </si>
  <si>
    <t xml:space="preserve">Sofia Paganoni </t>
  </si>
  <si>
    <t>sofipaganoni13@gmail.com</t>
  </si>
  <si>
    <t>02494497035</t>
  </si>
  <si>
    <t>Lunes 29/07 de 09:00 a 13:00 hs</t>
  </si>
  <si>
    <t>Almendra (marrón con verde)</t>
  </si>
  <si>
    <t>Consuelo Delgado</t>
  </si>
  <si>
    <t>consuelitidelgado@gmail.com</t>
  </si>
  <si>
    <t>Valentina ferro arce</t>
  </si>
  <si>
    <t>Valentinafmedicina@gmail.com</t>
  </si>
  <si>
    <t>Ailen Ares</t>
  </si>
  <si>
    <t>ailenares98@gmail.com</t>
  </si>
  <si>
    <t>Dermatitis seborreica</t>
  </si>
  <si>
    <t xml:space="preserve">Patricia Worzel </t>
  </si>
  <si>
    <t>Santiago Rampoldi</t>
  </si>
  <si>
    <t>santirampoldi12@gmail.com</t>
  </si>
  <si>
    <t>Maria Paola Moizze</t>
  </si>
  <si>
    <t>pmoizze@gmail.com</t>
  </si>
  <si>
    <t>Levotiroxi a 50mg</t>
  </si>
  <si>
    <t>Ana Clara Sola</t>
  </si>
  <si>
    <t>Aclarasola@gmail.com</t>
  </si>
  <si>
    <t>Sofía Rivera</t>
  </si>
  <si>
    <t>sofia.rivera.unc@gmail.com</t>
  </si>
  <si>
    <t>Juan Pedro Cagnoli</t>
  </si>
  <si>
    <t>juampicagnoli@gmail.com</t>
  </si>
  <si>
    <t>+5492494672226</t>
  </si>
  <si>
    <t xml:space="preserve">María Rivera </t>
  </si>
  <si>
    <t xml:space="preserve">mariacrivera2016@gmail.com </t>
  </si>
  <si>
    <t>Alergia/hipotiroidismo/fibromialgia</t>
  </si>
  <si>
    <t>Martes 30/07 de 09:00 a 13:00 hs</t>
  </si>
  <si>
    <t>Nora N Zubiri</t>
  </si>
  <si>
    <t>11/8/0067</t>
  </si>
  <si>
    <t>Zubirinora3@gmail.com</t>
  </si>
  <si>
    <t xml:space="preserve">Rosácea, </t>
  </si>
  <si>
    <t xml:space="preserve">Mariela Castiglioni </t>
  </si>
  <si>
    <t>mariecastiglioni@gmail.com</t>
  </si>
  <si>
    <t>Anna Larco</t>
  </si>
  <si>
    <t>Annalarco@gmail.com</t>
  </si>
  <si>
    <t>Base, Máscara de pestañas, Lapiz de labios, Sombras, Varios</t>
  </si>
  <si>
    <t>Maria Simaro</t>
  </si>
  <si>
    <t>mariasimaro@hotmail.com</t>
  </si>
  <si>
    <t>A veces tengo hongos en los brazos y tuve liquen en genitales externos</t>
  </si>
  <si>
    <t>Alejandro Fadon</t>
  </si>
  <si>
    <t>a_fadon@hotmail.com</t>
  </si>
  <si>
    <t>Manuela gadea</t>
  </si>
  <si>
    <t>Manuelagadea@hotmail.com</t>
  </si>
  <si>
    <t>0344215516342</t>
  </si>
  <si>
    <t>Milagros Ratto</t>
  </si>
  <si>
    <t>milagrosratto07@gmail.com</t>
  </si>
  <si>
    <t>+5491126824993</t>
  </si>
  <si>
    <t xml:space="preserve">Magdalena Alba </t>
  </si>
  <si>
    <t>maguialba@gmail.com</t>
  </si>
  <si>
    <t>Miércoles 31/07 de 09:00 a 13:00 hs</t>
  </si>
  <si>
    <t>Rosario ibarguren</t>
  </si>
  <si>
    <t>Rochibar@hotmail.com</t>
  </si>
  <si>
    <t>Josefina Sappia</t>
  </si>
  <si>
    <t>josefinasappia@gmail.com</t>
  </si>
  <si>
    <t xml:space="preserve">Santiago Garcia </t>
  </si>
  <si>
    <t>Santigarcia01@gmail.com</t>
  </si>
  <si>
    <t xml:space="preserve">Martina Cotti </t>
  </si>
  <si>
    <t>mcotti6@gmail.com</t>
  </si>
  <si>
    <t xml:space="preserve">Marcela Calderón </t>
  </si>
  <si>
    <t>13/7/0069</t>
  </si>
  <si>
    <t>marcecalderoncagnoli@gmail.com</t>
  </si>
  <si>
    <t>Andrea Valle</t>
  </si>
  <si>
    <t>andreairenevalle@gmail.com</t>
  </si>
  <si>
    <t>Tamsulosina y tibolona</t>
  </si>
  <si>
    <t>Franco Cagnoli</t>
  </si>
  <si>
    <t>francocagnoli95@gmail.com</t>
  </si>
  <si>
    <t>+5492494603720</t>
  </si>
  <si>
    <t xml:space="preserve">Julieta cagnoli </t>
  </si>
  <si>
    <t>Juli.cagnoli@hotmail.com</t>
  </si>
  <si>
    <t xml:space="preserve">Belén Biscayart </t>
  </si>
  <si>
    <t>12/5/0064</t>
  </si>
  <si>
    <t>belenbis05@yahoo.con.ar</t>
  </si>
  <si>
    <t xml:space="preserve">Medicada por colesterol elevado </t>
  </si>
  <si>
    <t>Rosuvastatina y suplemento dietario( 102 mujer)</t>
  </si>
  <si>
    <t>5/1/0024</t>
  </si>
  <si>
    <t>Maria. Susana Farias</t>
  </si>
  <si>
    <t>msufarias@hotmail.com</t>
  </si>
  <si>
    <t>Rosacea</t>
  </si>
  <si>
    <t>Minoxidil/ dutasteride</t>
  </si>
  <si>
    <t>Griselda Francese</t>
  </si>
  <si>
    <t>23/11/0053</t>
  </si>
  <si>
    <t>Giselafrancese@hotmail.com</t>
  </si>
  <si>
    <t>Clara guillen</t>
  </si>
  <si>
    <t>Clariguillen@live.com.ar</t>
  </si>
  <si>
    <t>Rosácea leve en cara</t>
  </si>
  <si>
    <t xml:space="preserve">Norma Elvira Idiart </t>
  </si>
  <si>
    <t xml:space="preserve">normaidiart@hotmail.com.ar </t>
  </si>
  <si>
    <t>Jueves 01/08 de 14:00 a 18:00 hs</t>
  </si>
  <si>
    <t xml:space="preserve">Nahuel Fernández </t>
  </si>
  <si>
    <t>nahuelalofernandez@gmail.com</t>
  </si>
  <si>
    <t>valentin aguerre</t>
  </si>
  <si>
    <t>valentiaguerre2003@gmail.com</t>
  </si>
  <si>
    <t>&gt; 50</t>
  </si>
  <si>
    <t xml:space="preserve">María Laura Pertiné </t>
  </si>
  <si>
    <t>pertinelaura@gmail.com</t>
  </si>
  <si>
    <t>Hta, hipotiroidismo</t>
  </si>
  <si>
    <t xml:space="preserve">Claudia Eden </t>
  </si>
  <si>
    <t>claudiaaeden@gmail.com</t>
  </si>
  <si>
    <t>Asma estacional</t>
  </si>
  <si>
    <t>Marisa Piccardi</t>
  </si>
  <si>
    <t>marisapiccardi71@gmail.com</t>
  </si>
  <si>
    <t>Omega 3</t>
  </si>
  <si>
    <t xml:space="preserve">Romina Valeria Ibarra </t>
  </si>
  <si>
    <t>Romina.ibarra.negra@gmail.com</t>
  </si>
  <si>
    <t>Tiroides</t>
  </si>
  <si>
    <t>T4</t>
  </si>
  <si>
    <t xml:space="preserve">Nahiara Loustalot Ibarra </t>
  </si>
  <si>
    <t xml:space="preserve">Nahiaraloustalotibarra@gmail.com </t>
  </si>
  <si>
    <t xml:space="preserve">Ana Cecilia Collado </t>
  </si>
  <si>
    <t>ccollado0307@gmail.com</t>
  </si>
  <si>
    <t xml:space="preserve">Pantropraxol </t>
  </si>
  <si>
    <t>Gabriel Edgardo Amela</t>
  </si>
  <si>
    <t xml:space="preserve">gabrielamela22@gmail.com </t>
  </si>
  <si>
    <t>Pantropraxol</t>
  </si>
  <si>
    <t>Mateo Foschino</t>
  </si>
  <si>
    <t>Mateo.fos14@gmail.com</t>
  </si>
  <si>
    <t>Acemuk</t>
  </si>
  <si>
    <t>Bautista Grasso</t>
  </si>
  <si>
    <t>bautistagrasso4@gmail.com</t>
  </si>
  <si>
    <t>Federico Duran</t>
  </si>
  <si>
    <t>pelifede123@gmail.com</t>
  </si>
  <si>
    <t>Prep</t>
  </si>
  <si>
    <t>Ana Paula Dufau</t>
  </si>
  <si>
    <t xml:space="preserve"> anaduf13@gmail.com</t>
  </si>
  <si>
    <t>Queloide</t>
  </si>
  <si>
    <t>Vitamina b12</t>
  </si>
  <si>
    <t>Acné en la espalda</t>
  </si>
  <si>
    <t>No lo sé, creo que grasa</t>
  </si>
  <si>
    <t xml:space="preserve">Daniela Cósser </t>
  </si>
  <si>
    <t>danielacosser@gmail.com</t>
  </si>
  <si>
    <t>Seretide, Montelukast compuesto, y Anticonceptivos orales (Drospirenona 3 mg y Etinilestradiol 0,02 mg)</t>
  </si>
  <si>
    <t>Máscara de pestañas, Corrector de ojeras</t>
  </si>
  <si>
    <t>Julieta Martinez</t>
  </si>
  <si>
    <t>martinezjulieta063@gmail.com</t>
  </si>
  <si>
    <t xml:space="preserve">Patricia gomez bertini </t>
  </si>
  <si>
    <t>Patriciagbertini@hotmail.com</t>
  </si>
  <si>
    <t xml:space="preserve">Cáncer de útero </t>
  </si>
  <si>
    <t>Giuliana Laguardia Covatti</t>
  </si>
  <si>
    <t>giulianalaguardia22@gmail.com</t>
  </si>
  <si>
    <t>Gonzalo Rotonda</t>
  </si>
  <si>
    <t>gonzarotonda@hotmail.com</t>
  </si>
  <si>
    <t xml:space="preserve">Finasteride y minoxidil </t>
  </si>
  <si>
    <t>Josefina boragini</t>
  </si>
  <si>
    <t>Josefina.boragini@hotmail.com</t>
  </si>
  <si>
    <t>Anticonceptivas Y vitamina b12</t>
  </si>
  <si>
    <t>1/1/0000</t>
  </si>
  <si>
    <t>Octavio Iriarte</t>
  </si>
  <si>
    <t>octavio.iriarte01@gmail.com</t>
  </si>
  <si>
    <t xml:space="preserve">Melanie Álvarez </t>
  </si>
  <si>
    <t>melaniegalvarez@gmail.com</t>
  </si>
  <si>
    <t xml:space="preserve">Sonia Uttile </t>
  </si>
  <si>
    <t>soniauttile@live.com</t>
  </si>
  <si>
    <t>Camila balbi</t>
  </si>
  <si>
    <t>Camilabalbi10@gmail.com</t>
  </si>
  <si>
    <t>Iara inzunza</t>
  </si>
  <si>
    <t>Iarainzunza81@gmail.com</t>
  </si>
  <si>
    <t>Maria Mercedes Pereyra</t>
  </si>
  <si>
    <t>merpereyra@hotmail.com.ar</t>
  </si>
  <si>
    <t>0249154668907</t>
  </si>
  <si>
    <t>Entre verdes y celestes</t>
  </si>
  <si>
    <t>Levoritoxina</t>
  </si>
  <si>
    <t>Federico Scapellato</t>
  </si>
  <si>
    <t>federicoscapellato51@gmail.com</t>
  </si>
  <si>
    <t>Dutasteride</t>
  </si>
  <si>
    <t xml:space="preserve">Soledad García alias </t>
  </si>
  <si>
    <t>sole_garcia1@hotmail.com</t>
  </si>
  <si>
    <t>Agustina Tobares</t>
  </si>
  <si>
    <t>agustinatoba@gmail.com</t>
  </si>
  <si>
    <t>Hipotiroidismo, cáncer de tiroides</t>
  </si>
  <si>
    <t>T4 de 75mg</t>
  </si>
  <si>
    <t>Máscara de pestañas, Lapiz de labios, Corrector de ojeras</t>
  </si>
  <si>
    <t>Emilia dacovich</t>
  </si>
  <si>
    <t>emiliadacovich@gmail.com</t>
  </si>
  <si>
    <t xml:space="preserve">Sofi Pérez </t>
  </si>
  <si>
    <t>Sofoperez@hotmail.com</t>
  </si>
  <si>
    <t xml:space="preserve">Pablo Muniagurria </t>
  </si>
  <si>
    <t>muniagurriap@gmail.com</t>
  </si>
  <si>
    <t>Julia Recari</t>
  </si>
  <si>
    <t>julirecari@gmail.com</t>
  </si>
  <si>
    <t xml:space="preserve">Máscara de pestañas, Lapiz de labios, Sombras, Corrector </t>
  </si>
  <si>
    <t xml:space="preserve">Mónica alias </t>
  </si>
  <si>
    <t>Mónica.a66@hotmail.com</t>
  </si>
  <si>
    <t>Tatiana mazzocchi</t>
  </si>
  <si>
    <t>Tamf_732@hotmail.com</t>
  </si>
  <si>
    <t>Un implante hormonal subdermico</t>
  </si>
  <si>
    <t xml:space="preserve">Paula Crovo </t>
  </si>
  <si>
    <t>Paulacrovo@gmail.com</t>
  </si>
  <si>
    <t>Máscara de pestañas, Tapa ojeras</t>
  </si>
  <si>
    <t>Alewaerts Catalina</t>
  </si>
  <si>
    <t>calewaerts123@gmail.com</t>
  </si>
  <si>
    <t>Viernes 02/08 de 09:00 a 13:00 hs</t>
  </si>
  <si>
    <t>daniela scapellato</t>
  </si>
  <si>
    <t>dfscapellato@gmail.com</t>
  </si>
  <si>
    <t xml:space="preserve">gastritis </t>
  </si>
  <si>
    <t>esomeprazol</t>
  </si>
  <si>
    <t xml:space="preserve">Marcela Caputo </t>
  </si>
  <si>
    <t>marcelacaputo87@gmail.com</t>
  </si>
  <si>
    <t>Lucia Nardin</t>
  </si>
  <si>
    <t>Lucianardin03@gmail.com</t>
  </si>
  <si>
    <t xml:space="preserve">Julieta Vazquez Gil </t>
  </si>
  <si>
    <t>julivazquezgil@gmail.com</t>
  </si>
  <si>
    <t xml:space="preserve">Base, Máscara de pestañas, Lapiz de labios, Corrector </t>
  </si>
  <si>
    <t>Mariana Kirnbauer</t>
  </si>
  <si>
    <t>marianakirnbauer@yahoo.com.ar</t>
  </si>
  <si>
    <t>Vitaminas para la caida del cabello</t>
  </si>
  <si>
    <t>Base, Lapiz de labios, Sombras</t>
  </si>
  <si>
    <t>Agustín de la Torre</t>
  </si>
  <si>
    <t>Delatorreagustin7@gmail.com</t>
  </si>
  <si>
    <t>Antonella Carabelli</t>
  </si>
  <si>
    <t>ancarabelli@gmail.com</t>
  </si>
  <si>
    <t>Felicitas María Caletti Fisher</t>
  </si>
  <si>
    <t>fmcalettifisher@estudiantes.unsam.edu.ar</t>
  </si>
  <si>
    <t>Pastillas anticonceptivas. Jaz 3 mg drospirenona/0.02 mg etinilestradiol</t>
  </si>
  <si>
    <t>Natalia scapellato</t>
  </si>
  <si>
    <t>Nataliafscapellato@gmail.com</t>
  </si>
  <si>
    <t>Lucía Castelli</t>
  </si>
  <si>
    <t>lucia.castelli21@gmail.com</t>
  </si>
  <si>
    <t>Acné, Acné no muy grave</t>
  </si>
  <si>
    <t>Escitalopram 10mg</t>
  </si>
  <si>
    <t>guadalupe yantani</t>
  </si>
  <si>
    <t>guadayantani@gmail.com</t>
  </si>
  <si>
    <t>Natalia bello</t>
  </si>
  <si>
    <t>Nataliasbello@gmail.com</t>
  </si>
  <si>
    <t>Marcela murphy</t>
  </si>
  <si>
    <t>marcelamurphy1959@gmail.com</t>
  </si>
  <si>
    <t>Hemocromatosis</t>
  </si>
  <si>
    <t>Bernardo Joselevich</t>
  </si>
  <si>
    <t>dobybernardo@gmail.com</t>
  </si>
  <si>
    <t>Gastritis</t>
  </si>
  <si>
    <t>Queratosis tras golpes de sol, envejecimiento</t>
  </si>
  <si>
    <t xml:space="preserve">Cristian Pérez </t>
  </si>
  <si>
    <t>cristianpm@protonmail.com</t>
  </si>
  <si>
    <t>Hector Rojas</t>
  </si>
  <si>
    <t>hector.rojas0101@gmail.com</t>
  </si>
  <si>
    <t>Tuberculosis</t>
  </si>
  <si>
    <t>levotiroxina 100mg</t>
  </si>
  <si>
    <t>Nicola Caprirolo</t>
  </si>
  <si>
    <t>nicolacaprirolo@gmail.com</t>
  </si>
  <si>
    <t>+17033976417</t>
  </si>
  <si>
    <t>Herpes bocal</t>
  </si>
  <si>
    <t>Facundo Couto</t>
  </si>
  <si>
    <t>facundo@atmeiatrea.club</t>
  </si>
  <si>
    <t>01132546333</t>
  </si>
  <si>
    <t>Ninguna, Eventuslmente herpes simplex</t>
  </si>
  <si>
    <t xml:space="preserve">María Marcela Trillini </t>
  </si>
  <si>
    <t>laberinto.estilodevida@gmail.com</t>
  </si>
  <si>
    <t xml:space="preserve">Katharine Jones </t>
  </si>
  <si>
    <t>Bsasnyc@gmail.com</t>
  </si>
  <si>
    <t>María Belén Cepa Fraga</t>
  </si>
  <si>
    <t>mbcepa@gmail.com</t>
  </si>
  <si>
    <t>Hidroclorotiazida</t>
  </si>
  <si>
    <t xml:space="preserve">Ricardo Carlos Ernesto Litvak </t>
  </si>
  <si>
    <t>ric228@gmail.com</t>
  </si>
  <si>
    <t>SECUKINUMAB</t>
  </si>
  <si>
    <t>Mensual</t>
  </si>
  <si>
    <t>Psoriasica</t>
  </si>
  <si>
    <t>Mónica Inés Icasati</t>
  </si>
  <si>
    <t>coutojuanfacundo@gmail</t>
  </si>
  <si>
    <t>+1127747882</t>
  </si>
  <si>
    <t xml:space="preserve">Hilda Mirta Cacace </t>
  </si>
  <si>
    <t>mirtacacace@hotmail.com</t>
  </si>
  <si>
    <t xml:space="preserve">Carolina Godoy </t>
  </si>
  <si>
    <t>caroliiinag12@gmail.com</t>
  </si>
  <si>
    <t>Síndrome de cushing</t>
  </si>
  <si>
    <t>Liza Peretti</t>
  </si>
  <si>
    <t>liziperetti@hotmail.com</t>
  </si>
  <si>
    <t>+5493425494654</t>
  </si>
  <si>
    <t xml:space="preserve">Pardos verdosos </t>
  </si>
  <si>
    <t>sexo</t>
  </si>
  <si>
    <t>tipo_piel</t>
  </si>
  <si>
    <t>edad</t>
  </si>
  <si>
    <t>rango_etario</t>
  </si>
  <si>
    <t>1</t>
  </si>
  <si>
    <t>18-35</t>
  </si>
  <si>
    <t>105</t>
  </si>
  <si>
    <t>35-55</t>
  </si>
  <si>
    <t>108</t>
  </si>
  <si>
    <t>&gt;55</t>
  </si>
  <si>
    <t>11</t>
  </si>
  <si>
    <t>113</t>
  </si>
  <si>
    <t>114</t>
  </si>
  <si>
    <t>115</t>
  </si>
  <si>
    <t>116</t>
  </si>
  <si>
    <t>118</t>
  </si>
  <si>
    <t>12</t>
  </si>
  <si>
    <t>120</t>
  </si>
  <si>
    <t>123</t>
  </si>
  <si>
    <t>124</t>
  </si>
  <si>
    <t>125</t>
  </si>
  <si>
    <t>126</t>
  </si>
  <si>
    <t>127</t>
  </si>
  <si>
    <t>128</t>
  </si>
  <si>
    <t>129</t>
  </si>
  <si>
    <t>13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</si>
  <si>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</si>
  <si>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</si>
  <si>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</si>
  <si>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</si>
  <si>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</si>
  <si>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</si>
  <si>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</si>
  <si>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</si>
  <si>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</si>
  <si>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</si>
  <si>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</si>
  <si>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</si>
  <si>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</si>
  <si>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144</t>
  </si>
  <si>
    <t>148</t>
  </si>
  <si>
    <t>151</t>
  </si>
  <si>
    <t>152</t>
  </si>
  <si>
    <t>153</t>
  </si>
  <si>
    <t>156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</si>
  <si>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</si>
  <si>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</si>
  <si>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</si>
  <si>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</si>
  <si>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</si>
  <si>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</si>
  <si>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</si>
  <si>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</si>
  <si>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</si>
  <si>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</si>
  <si>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</si>
  <si>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</si>
  <si>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</si>
  <si>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</si>
  <si>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</si>
  <si>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</si>
  <si>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</si>
  <si>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</si>
  <si>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</si>
  <si>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</si>
  <si>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</si>
  <si>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</si>
  <si>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182</t>
  </si>
  <si>
    <t>183</t>
  </si>
  <si>
    <t>184</t>
  </si>
  <si>
    <t>185</t>
  </si>
  <si>
    <t>187</t>
  </si>
  <si>
    <t>189</t>
  </si>
  <si>
    <t>190</t>
  </si>
  <si>
    <t>191</t>
  </si>
  <si>
    <t>192</t>
  </si>
  <si>
    <t>194</t>
  </si>
  <si>
    <t>197</t>
  </si>
  <si>
    <t>207</t>
  </si>
  <si>
    <t>212</t>
  </si>
  <si>
    <t>217</t>
  </si>
  <si>
    <t>229</t>
  </si>
  <si>
    <t>236</t>
  </si>
  <si>
    <t>243</t>
  </si>
  <si>
    <t>246</t>
  </si>
  <si>
    <t>248</t>
  </si>
  <si>
    <t>25</t>
  </si>
  <si>
    <t>253</t>
  </si>
  <si>
    <t>257</t>
  </si>
  <si>
    <t>261</t>
  </si>
  <si>
    <t>267</t>
  </si>
  <si>
    <t>269</t>
  </si>
  <si>
    <t>27</t>
  </si>
  <si>
    <t>270</t>
  </si>
  <si>
    <t>271</t>
  </si>
  <si>
    <t>272</t>
  </si>
  <si>
    <t>273</t>
  </si>
  <si>
    <t>279</t>
  </si>
  <si>
    <t>280</t>
  </si>
  <si>
    <t>281</t>
  </si>
  <si>
    <t>282</t>
  </si>
  <si>
    <t>283</t>
  </si>
  <si>
    <t>284</t>
  </si>
  <si>
    <t>285</t>
  </si>
  <si>
    <t>287</t>
  </si>
  <si>
    <t>288</t>
  </si>
  <si>
    <t>289</t>
  </si>
  <si>
    <t>29</t>
  </si>
  <si>
    <t>291</t>
  </si>
  <si>
    <t>293</t>
  </si>
  <si>
    <t>294</t>
  </si>
  <si>
    <t>295</t>
  </si>
  <si>
    <t>296</t>
  </si>
  <si>
    <t>3</t>
  </si>
  <si>
    <t>30</t>
  </si>
  <si>
    <t>305</t>
  </si>
  <si>
    <t>308</t>
  </si>
  <si>
    <t>309</t>
  </si>
  <si>
    <t>313</t>
  </si>
  <si>
    <t>316</t>
  </si>
  <si>
    <t>317</t>
  </si>
  <si>
    <t>318</t>
  </si>
  <si>
    <t>319</t>
  </si>
  <si>
    <t>321</t>
  </si>
  <si>
    <t>322</t>
  </si>
  <si>
    <t>323</t>
  </si>
  <si>
    <t>324</t>
  </si>
  <si>
    <t>325</t>
  </si>
  <si>
    <t>327</t>
  </si>
  <si>
    <t>328</t>
  </si>
  <si>
    <t>33</t>
  </si>
  <si>
    <t>330</t>
  </si>
  <si>
    <t>331</t>
  </si>
  <si>
    <t>333</t>
  </si>
  <si>
    <t>335</t>
  </si>
  <si>
    <t>336</t>
  </si>
  <si>
    <t>339</t>
  </si>
  <si>
    <t>34</t>
  </si>
  <si>
    <t>341</t>
  </si>
  <si>
    <t>342</t>
  </si>
  <si>
    <t>344</t>
  </si>
  <si>
    <t>347</t>
  </si>
  <si>
    <t>349</t>
  </si>
  <si>
    <t>35</t>
  </si>
  <si>
    <t>350</t>
  </si>
  <si>
    <t>351</t>
  </si>
  <si>
    <t>353</t>
  </si>
  <si>
    <t>354</t>
  </si>
  <si>
    <t>356</t>
  </si>
  <si>
    <t>358</t>
  </si>
  <si>
    <t>359</t>
  </si>
  <si>
    <t>36</t>
  </si>
  <si>
    <t>360</t>
  </si>
  <si>
    <t>361</t>
  </si>
  <si>
    <t>363</t>
  </si>
  <si>
    <t>365</t>
  </si>
  <si>
    <t>366</t>
  </si>
  <si>
    <t>367</t>
  </si>
  <si>
    <t>368</t>
  </si>
  <si>
    <t>369</t>
  </si>
  <si>
    <t>37</t>
  </si>
  <si>
    <t>370</t>
  </si>
  <si>
    <t>372</t>
  </si>
  <si>
    <t>373</t>
  </si>
  <si>
    <t>374</t>
  </si>
  <si>
    <t>375</t>
  </si>
  <si>
    <t>377</t>
  </si>
  <si>
    <t>378</t>
  </si>
  <si>
    <t>379</t>
  </si>
  <si>
    <t>38</t>
  </si>
  <si>
    <t>381</t>
  </si>
  <si>
    <t>382</t>
  </si>
  <si>
    <t>383</t>
  </si>
  <si>
    <t>384</t>
  </si>
  <si>
    <t>386</t>
  </si>
  <si>
    <t>387</t>
  </si>
  <si>
    <t>388</t>
  </si>
  <si>
    <t>392</t>
  </si>
  <si>
    <t>393</t>
  </si>
  <si>
    <t>395</t>
  </si>
  <si>
    <t>397</t>
  </si>
  <si>
    <t>398</t>
  </si>
  <si>
    <t>4</t>
  </si>
  <si>
    <t>40</t>
  </si>
  <si>
    <t>401</t>
  </si>
  <si>
    <t>41</t>
  </si>
  <si>
    <t>43</t>
  </si>
  <si>
    <t>45</t>
  </si>
  <si>
    <t>48</t>
  </si>
  <si>
    <t>5</t>
  </si>
  <si>
    <t>56</t>
  </si>
  <si>
    <t>57</t>
  </si>
  <si>
    <t>58</t>
  </si>
  <si>
    <t>62</t>
  </si>
  <si>
    <t>78</t>
  </si>
  <si>
    <t>79</t>
  </si>
  <si>
    <t>86</t>
  </si>
  <si>
    <t>9</t>
  </si>
  <si>
    <t>90</t>
  </si>
  <si>
    <t>93</t>
  </si>
  <si>
    <t>94</t>
  </si>
  <si>
    <t>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</si>
</sst>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/M/yyyy"/>
    <numFmt numFmtId="165" formatCode="m/d/yyyy h:mm:ss"/>
    <numFmt numFmtId="166" formatCode="d/m/yyyy"/>
    <numFmt numFmtId="167" formatCode="d-m-yyyy"/>
    <numFmt numFmtId="168" formatCode="d-m"/>
    <numFmt numFmtId="169" formatCode="D/M/YYYY"/>
    <numFmt numFmtId="170" formatCode="dd/mm/yyyy"/>
  </numFmts>
  <fonts count="13">
    <font>
      <sz val="10.0"/>
      <color rgb="FF000000"/>
      <name val="Arial"/>
      <scheme val="minor"/>
    </font>
    <font>
      <b/>
      <color rgb="FFFF0000"/>
      <name val="Arial"/>
    </font>
    <font>
      <b/>
      <color theme="1"/>
      <name val="Arial"/>
    </font>
    <font>
      <b/>
      <color theme="1"/>
      <name val="Alice"/>
    </font>
    <font>
      <sz val="11.0"/>
      <color theme="1"/>
      <name val="Calibri"/>
    </font>
    <font>
      <color theme="1"/>
      <name val="Arial"/>
    </font>
    <font>
      <color rgb="FF000000"/>
      <name val="Roboto"/>
    </font>
    <font>
      <u/>
      <color rgb="FF000000"/>
    </font>
    <font>
      <sz val="10.0"/>
      <color rgb="FF000000"/>
      <name val="Calibri"/>
    </font>
    <font>
      <sz val="11.0"/>
      <color theme="1"/>
      <name val="Arial"/>
    </font>
    <font>
      <color rgb="FF000000"/>
      <name val="Arial"/>
    </font>
    <font>
      <color theme="1"/>
      <name val="Arial"/>
      <scheme val="minor"/>
    </font>
    <font>
      <b/>
      <sz val="11.0"/>
      <color theme="1"/>
      <name val="Calibri"/>
    </font>
  </fonts>
  <fills count="21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theme="8"/>
        <bgColor theme="8"/>
      </patternFill>
    </fill>
    <fill>
      <patternFill patternType="solid">
        <fgColor rgb="FFFF00FF"/>
        <bgColor rgb="FFFF00FF"/>
      </patternFill>
    </fill>
    <fill>
      <patternFill patternType="solid">
        <fgColor rgb="FFFFD966"/>
        <bgColor rgb="FFFFD966"/>
      </patternFill>
    </fill>
    <fill>
      <patternFill patternType="solid">
        <fgColor rgb="FFFF0000"/>
        <bgColor rgb="FFFF0000"/>
      </patternFill>
    </fill>
    <fill>
      <patternFill patternType="solid">
        <fgColor rgb="FF46BDC6"/>
        <bgColor rgb="FF46BDC6"/>
      </patternFill>
    </fill>
    <fill>
      <patternFill patternType="solid">
        <fgColor rgb="FFD9EAD3"/>
        <bgColor rgb="FFD9EAD3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6D01"/>
        <bgColor rgb="FFFF6D01"/>
      </patternFill>
    </fill>
    <fill>
      <patternFill patternType="solid">
        <fgColor rgb="FF999999"/>
        <bgColor rgb="FF999999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38761D"/>
        <bgColor rgb="FF38761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10" xfId="0" applyAlignment="1" applyFont="1" applyNumberFormat="1">
      <alignment horizontal="center"/>
    </xf>
    <xf borderId="1" fillId="0" fontId="4" numFmtId="0" xfId="0" applyAlignment="1" applyBorder="1" applyFont="1">
      <alignment vertical="bottom"/>
    </xf>
    <xf borderId="0" fillId="0" fontId="5" numFmtId="0" xfId="0" applyAlignment="1" applyFont="1">
      <alignment horizontal="center"/>
    </xf>
    <xf borderId="0" fillId="0" fontId="2" numFmtId="0" xfId="0" applyAlignment="1" applyFont="1">
      <alignment horizontal="center" vertical="bottom"/>
    </xf>
    <xf borderId="0" fillId="2" fontId="5" numFmtId="165" xfId="0" applyAlignment="1" applyFill="1" applyFont="1" applyNumberFormat="1">
      <alignment horizontal="center"/>
    </xf>
    <xf borderId="0" fillId="2" fontId="5" numFmtId="0" xfId="0" applyAlignment="1" applyFont="1">
      <alignment horizontal="center"/>
    </xf>
    <xf borderId="0" fillId="2" fontId="5" numFmtId="164" xfId="0" applyAlignment="1" applyFont="1" applyNumberFormat="1">
      <alignment horizontal="center"/>
    </xf>
    <xf borderId="0" fillId="2" fontId="5" numFmtId="49" xfId="0" applyAlignment="1" applyFont="1" applyNumberFormat="1">
      <alignment horizontal="center"/>
    </xf>
    <xf borderId="0" fillId="2" fontId="5" numFmtId="0" xfId="0" applyFont="1"/>
    <xf borderId="0" fillId="0" fontId="5" numFmtId="166" xfId="0" applyAlignment="1" applyFont="1" applyNumberFormat="1">
      <alignment horizontal="center"/>
    </xf>
    <xf borderId="0" fillId="0" fontId="5" numFmtId="0" xfId="0" applyAlignment="1" applyFont="1">
      <alignment horizontal="center" vertical="bottom"/>
    </xf>
    <xf borderId="0" fillId="3" fontId="5" numFmtId="167" xfId="0" applyAlignment="1" applyFill="1" applyFont="1" applyNumberFormat="1">
      <alignment horizontal="center"/>
    </xf>
    <xf borderId="0" fillId="3" fontId="5" numFmtId="165" xfId="0" applyAlignment="1" applyFont="1" applyNumberFormat="1">
      <alignment horizontal="center"/>
    </xf>
    <xf borderId="0" fillId="3" fontId="5" numFmtId="0" xfId="0" applyAlignment="1" applyFont="1">
      <alignment horizontal="center"/>
    </xf>
    <xf borderId="0" fillId="3" fontId="5" numFmtId="164" xfId="0" applyAlignment="1" applyFont="1" applyNumberFormat="1">
      <alignment horizontal="center"/>
    </xf>
    <xf borderId="0" fillId="3" fontId="5" numFmtId="49" xfId="0" applyAlignment="1" applyFont="1" applyNumberFormat="1">
      <alignment horizontal="center"/>
    </xf>
    <xf borderId="0" fillId="2" fontId="4" numFmtId="0" xfId="0" applyAlignment="1" applyFont="1">
      <alignment horizontal="center"/>
    </xf>
    <xf borderId="0" fillId="4" fontId="5" numFmtId="0" xfId="0" applyAlignment="1" applyFill="1" applyFont="1">
      <alignment horizontal="center"/>
    </xf>
    <xf quotePrefix="1" borderId="0" fillId="2" fontId="5" numFmtId="0" xfId="0" applyAlignment="1" applyFont="1">
      <alignment horizontal="center"/>
    </xf>
    <xf borderId="0" fillId="2" fontId="5" numFmtId="168" xfId="0" applyAlignment="1" applyFont="1" applyNumberFormat="1">
      <alignment horizontal="center"/>
    </xf>
    <xf borderId="0" fillId="5" fontId="5" numFmtId="0" xfId="0" applyAlignment="1" applyFill="1" applyFont="1">
      <alignment horizontal="center"/>
    </xf>
    <xf quotePrefix="1" borderId="0" fillId="3" fontId="5" numFmtId="0" xfId="0" applyAlignment="1" applyFont="1">
      <alignment horizontal="center"/>
    </xf>
    <xf borderId="0" fillId="3" fontId="6" numFmtId="0" xfId="0" applyAlignment="1" applyFont="1">
      <alignment horizontal="center"/>
    </xf>
    <xf borderId="0" fillId="6" fontId="5" numFmtId="165" xfId="0" applyAlignment="1" applyFill="1" applyFont="1" applyNumberFormat="1">
      <alignment horizontal="center"/>
    </xf>
    <xf borderId="0" fillId="6" fontId="5" numFmtId="0" xfId="0" applyAlignment="1" applyFont="1">
      <alignment horizontal="center"/>
    </xf>
    <xf borderId="0" fillId="6" fontId="5" numFmtId="164" xfId="0" applyAlignment="1" applyFont="1" applyNumberFormat="1">
      <alignment horizontal="center"/>
    </xf>
    <xf borderId="0" fillId="6" fontId="5" numFmtId="49" xfId="0" applyAlignment="1" applyFont="1" applyNumberFormat="1">
      <alignment horizontal="center"/>
    </xf>
    <xf borderId="0" fillId="7" fontId="5" numFmtId="165" xfId="0" applyAlignment="1" applyFill="1" applyFont="1" applyNumberFormat="1">
      <alignment horizontal="center"/>
    </xf>
    <xf borderId="0" fillId="7" fontId="5" numFmtId="0" xfId="0" applyAlignment="1" applyFont="1">
      <alignment horizontal="center"/>
    </xf>
    <xf borderId="0" fillId="7" fontId="5" numFmtId="164" xfId="0" applyAlignment="1" applyFont="1" applyNumberFormat="1">
      <alignment horizontal="center"/>
    </xf>
    <xf borderId="0" fillId="7" fontId="5" numFmtId="49" xfId="0" applyAlignment="1" applyFont="1" applyNumberFormat="1">
      <alignment horizontal="center"/>
    </xf>
    <xf borderId="0" fillId="8" fontId="5" numFmtId="0" xfId="0" applyAlignment="1" applyFill="1" applyFont="1">
      <alignment horizontal="center"/>
    </xf>
    <xf borderId="0" fillId="9" fontId="5" numFmtId="165" xfId="0" applyAlignment="1" applyFill="1" applyFont="1" applyNumberFormat="1">
      <alignment horizontal="center"/>
    </xf>
    <xf borderId="0" fillId="9" fontId="5" numFmtId="0" xfId="0" applyAlignment="1" applyFont="1">
      <alignment horizontal="center"/>
    </xf>
    <xf borderId="0" fillId="9" fontId="5" numFmtId="164" xfId="0" applyAlignment="1" applyFont="1" applyNumberFormat="1">
      <alignment horizontal="center"/>
    </xf>
    <xf borderId="0" fillId="9" fontId="5" numFmtId="49" xfId="0" applyAlignment="1" applyFont="1" applyNumberFormat="1">
      <alignment horizontal="center"/>
    </xf>
    <xf borderId="0" fillId="2" fontId="7" numFmtId="0" xfId="0" applyAlignment="1" applyFont="1">
      <alignment horizontal="center"/>
    </xf>
    <xf borderId="0" fillId="10" fontId="5" numFmtId="0" xfId="0" applyAlignment="1" applyFill="1" applyFont="1">
      <alignment horizontal="center"/>
    </xf>
    <xf borderId="0" fillId="9" fontId="5" numFmtId="0" xfId="0" applyFont="1"/>
    <xf borderId="1" fillId="9" fontId="4" numFmtId="0" xfId="0" applyAlignment="1" applyBorder="1" applyFont="1">
      <alignment vertical="bottom"/>
    </xf>
    <xf borderId="0" fillId="9" fontId="5" numFmtId="166" xfId="0" applyAlignment="1" applyFont="1" applyNumberFormat="1">
      <alignment horizontal="center"/>
    </xf>
    <xf borderId="0" fillId="9" fontId="5" numFmtId="0" xfId="0" applyAlignment="1" applyFont="1">
      <alignment horizontal="center" vertical="bottom"/>
    </xf>
    <xf borderId="0" fillId="11" fontId="5" numFmtId="0" xfId="0" applyAlignment="1" applyFill="1" applyFont="1">
      <alignment horizontal="center"/>
    </xf>
    <xf borderId="0" fillId="12" fontId="5" numFmtId="165" xfId="0" applyAlignment="1" applyFill="1" applyFont="1" applyNumberFormat="1">
      <alignment horizontal="center"/>
    </xf>
    <xf borderId="0" fillId="12" fontId="5" numFmtId="0" xfId="0" applyAlignment="1" applyFont="1">
      <alignment horizontal="center"/>
    </xf>
    <xf borderId="0" fillId="12" fontId="5" numFmtId="164" xfId="0" applyAlignment="1" applyFont="1" applyNumberFormat="1">
      <alignment horizontal="center"/>
    </xf>
    <xf borderId="0" fillId="12" fontId="5" numFmtId="49" xfId="0" applyAlignment="1" applyFont="1" applyNumberFormat="1">
      <alignment horizontal="center"/>
    </xf>
    <xf borderId="0" fillId="13" fontId="5" numFmtId="165" xfId="0" applyAlignment="1" applyFill="1" applyFont="1" applyNumberFormat="1">
      <alignment horizontal="center"/>
    </xf>
    <xf borderId="0" fillId="13" fontId="5" numFmtId="0" xfId="0" applyAlignment="1" applyFont="1">
      <alignment horizontal="center"/>
    </xf>
    <xf borderId="0" fillId="13" fontId="5" numFmtId="164" xfId="0" applyAlignment="1" applyFont="1" applyNumberFormat="1">
      <alignment horizontal="center"/>
    </xf>
    <xf borderId="0" fillId="13" fontId="5" numFmtId="49" xfId="0" applyAlignment="1" applyFont="1" applyNumberFormat="1">
      <alignment horizontal="center"/>
    </xf>
    <xf borderId="0" fillId="14" fontId="5" numFmtId="0" xfId="0" applyAlignment="1" applyFill="1" applyFont="1">
      <alignment horizontal="center"/>
    </xf>
    <xf borderId="0" fillId="2" fontId="8" numFmtId="0" xfId="0" applyAlignment="1" applyFont="1">
      <alignment horizontal="center" shrinkToFit="0" wrapText="1"/>
    </xf>
    <xf borderId="0" fillId="2" fontId="9" numFmtId="49" xfId="0" applyAlignment="1" applyFont="1" applyNumberFormat="1">
      <alignment horizontal="center"/>
    </xf>
    <xf borderId="0" fillId="15" fontId="5" numFmtId="0" xfId="0" applyAlignment="1" applyFill="1" applyFont="1">
      <alignment horizontal="center"/>
    </xf>
    <xf borderId="0" fillId="3" fontId="5" numFmtId="0" xfId="0" applyAlignment="1" applyFont="1">
      <alignment horizontal="center" vertical="bottom"/>
    </xf>
    <xf quotePrefix="1" borderId="0" fillId="9" fontId="5" numFmtId="0" xfId="0" applyAlignment="1" applyFont="1">
      <alignment horizontal="center"/>
    </xf>
    <xf quotePrefix="1" borderId="0" fillId="6" fontId="5" numFmtId="0" xfId="0" applyAlignment="1" applyFont="1">
      <alignment horizontal="center"/>
    </xf>
    <xf borderId="0" fillId="14" fontId="5" numFmtId="165" xfId="0" applyAlignment="1" applyFont="1" applyNumberFormat="1">
      <alignment horizontal="center"/>
    </xf>
    <xf borderId="0" fillId="14" fontId="5" numFmtId="164" xfId="0" applyAlignment="1" applyFont="1" applyNumberFormat="1">
      <alignment horizontal="center"/>
    </xf>
    <xf borderId="0" fillId="14" fontId="5" numFmtId="49" xfId="0" applyAlignment="1" applyFont="1" applyNumberFormat="1">
      <alignment horizontal="center"/>
    </xf>
    <xf borderId="0" fillId="16" fontId="2" numFmtId="0" xfId="0" applyAlignment="1" applyFill="1" applyFont="1">
      <alignment horizontal="center"/>
    </xf>
    <xf borderId="0" fillId="10" fontId="5" numFmtId="165" xfId="0" applyAlignment="1" applyFont="1" applyNumberFormat="1">
      <alignment horizontal="center"/>
    </xf>
    <xf borderId="0" fillId="10" fontId="5" numFmtId="164" xfId="0" applyAlignment="1" applyFont="1" applyNumberFormat="1">
      <alignment horizontal="center"/>
    </xf>
    <xf borderId="0" fillId="10" fontId="5" numFmtId="49" xfId="0" applyAlignment="1" applyFont="1" applyNumberFormat="1">
      <alignment horizontal="center"/>
    </xf>
    <xf borderId="0" fillId="10" fontId="10" numFmtId="0" xfId="0" applyAlignment="1" applyFont="1">
      <alignment horizontal="center"/>
    </xf>
    <xf borderId="0" fillId="10" fontId="10" numFmtId="164" xfId="0" applyAlignment="1" applyFont="1" applyNumberFormat="1">
      <alignment horizontal="center"/>
    </xf>
    <xf borderId="0" fillId="0" fontId="10" numFmtId="0" xfId="0" applyAlignment="1" applyFont="1">
      <alignment horizontal="center"/>
    </xf>
    <xf borderId="0" fillId="9" fontId="5" numFmtId="169" xfId="0" applyAlignment="1" applyFont="1" applyNumberFormat="1">
      <alignment horizontal="center"/>
    </xf>
    <xf borderId="0" fillId="2" fontId="5" numFmtId="169" xfId="0" applyAlignment="1" applyFont="1" applyNumberFormat="1">
      <alignment horizontal="center"/>
    </xf>
    <xf borderId="0" fillId="2" fontId="5" numFmtId="0" xfId="0" applyAlignment="1" applyFont="1">
      <alignment horizontal="center" vertical="bottom"/>
    </xf>
    <xf borderId="0" fillId="16" fontId="1" numFmtId="0" xfId="0" applyAlignment="1" applyFont="1">
      <alignment horizontal="center"/>
    </xf>
    <xf quotePrefix="1" borderId="0" fillId="2" fontId="5" numFmtId="49" xfId="0" applyAlignment="1" applyFont="1" applyNumberFormat="1">
      <alignment horizontal="center"/>
    </xf>
    <xf quotePrefix="1" borderId="0" fillId="7" fontId="5" numFmtId="49" xfId="0" applyAlignment="1" applyFont="1" applyNumberFormat="1">
      <alignment horizontal="center"/>
    </xf>
    <xf borderId="0" fillId="3" fontId="5" numFmtId="169" xfId="0" applyAlignment="1" applyFont="1" applyNumberFormat="1">
      <alignment horizontal="center"/>
    </xf>
    <xf quotePrefix="1" borderId="0" fillId="3" fontId="5" numFmtId="49" xfId="0" applyAlignment="1" applyFont="1" applyNumberFormat="1">
      <alignment horizontal="center"/>
    </xf>
    <xf borderId="0" fillId="10" fontId="5" numFmtId="0" xfId="0" applyFont="1"/>
    <xf quotePrefix="1" borderId="0" fillId="9" fontId="5" numFmtId="49" xfId="0" applyAlignment="1" applyFont="1" applyNumberFormat="1">
      <alignment horizontal="center"/>
    </xf>
    <xf quotePrefix="1" borderId="0" fillId="10" fontId="5" numFmtId="49" xfId="0" applyAlignment="1" applyFont="1" applyNumberFormat="1">
      <alignment horizontal="center"/>
    </xf>
    <xf borderId="0" fillId="10" fontId="5" numFmtId="169" xfId="0" applyAlignment="1" applyFont="1" applyNumberFormat="1">
      <alignment horizontal="center"/>
    </xf>
    <xf borderId="0" fillId="0" fontId="5" numFmtId="0" xfId="0" applyFont="1"/>
    <xf borderId="0" fillId="2" fontId="5" numFmtId="165" xfId="0" applyFont="1" applyNumberFormat="1"/>
    <xf borderId="0" fillId="2" fontId="5" numFmtId="164" xfId="0" applyFont="1" applyNumberFormat="1"/>
    <xf quotePrefix="1" borderId="0" fillId="2" fontId="5" numFmtId="0" xfId="0" applyFont="1"/>
    <xf quotePrefix="1" borderId="0" fillId="2" fontId="5" numFmtId="49" xfId="0" applyFont="1" applyNumberFormat="1"/>
    <xf borderId="0" fillId="2" fontId="5" numFmtId="169" xfId="0" applyFont="1" applyNumberFormat="1"/>
    <xf borderId="0" fillId="0" fontId="5" numFmtId="170" xfId="0" applyFont="1" applyNumberFormat="1"/>
    <xf borderId="0" fillId="7" fontId="5" numFmtId="165" xfId="0" applyFont="1" applyNumberFormat="1"/>
    <xf borderId="0" fillId="7" fontId="5" numFmtId="164" xfId="0" applyFont="1" applyNumberFormat="1"/>
    <xf borderId="0" fillId="7" fontId="5" numFmtId="0" xfId="0" applyFont="1"/>
    <xf quotePrefix="1" borderId="0" fillId="7" fontId="5" numFmtId="49" xfId="0" applyFont="1" applyNumberFormat="1"/>
    <xf borderId="0" fillId="2" fontId="5" numFmtId="49" xfId="0" applyFont="1" applyNumberFormat="1"/>
    <xf borderId="0" fillId="10" fontId="5" numFmtId="165" xfId="0" applyFont="1" applyNumberFormat="1"/>
    <xf borderId="0" fillId="10" fontId="5" numFmtId="164" xfId="0" applyFont="1" applyNumberFormat="1"/>
    <xf quotePrefix="1" borderId="0" fillId="10" fontId="5" numFmtId="0" xfId="0" applyFont="1"/>
    <xf quotePrefix="1" borderId="0" fillId="10" fontId="5" numFmtId="49" xfId="0" applyFont="1" applyNumberFormat="1"/>
    <xf borderId="0" fillId="9" fontId="5" numFmtId="165" xfId="0" applyFont="1" applyNumberFormat="1"/>
    <xf borderId="0" fillId="9" fontId="5" numFmtId="164" xfId="0" applyFont="1" applyNumberFormat="1"/>
    <xf borderId="0" fillId="9" fontId="5" numFmtId="49" xfId="0" applyFont="1" applyNumberFormat="1"/>
    <xf borderId="0" fillId="16" fontId="5" numFmtId="165" xfId="0" applyFont="1" applyNumberFormat="1"/>
    <xf borderId="0" fillId="16" fontId="5" numFmtId="0" xfId="0" applyAlignment="1" applyFont="1">
      <alignment horizontal="center"/>
    </xf>
    <xf borderId="0" fillId="16" fontId="5" numFmtId="164" xfId="0" applyFont="1" applyNumberFormat="1"/>
    <xf borderId="0" fillId="16" fontId="5" numFmtId="0" xfId="0" applyFont="1"/>
    <xf borderId="0" fillId="16" fontId="5" numFmtId="169" xfId="0" applyFont="1" applyNumberFormat="1"/>
    <xf quotePrefix="1" borderId="0" fillId="16" fontId="5" numFmtId="49" xfId="0" applyFont="1" applyNumberFormat="1"/>
    <xf borderId="0" fillId="7" fontId="5" numFmtId="169" xfId="0" applyFont="1" applyNumberFormat="1"/>
    <xf borderId="0" fillId="12" fontId="5" numFmtId="166" xfId="0" applyAlignment="1" applyFont="1" applyNumberFormat="1">
      <alignment horizontal="center"/>
    </xf>
    <xf borderId="0" fillId="12" fontId="5" numFmtId="0" xfId="0" applyFont="1"/>
    <xf borderId="0" fillId="12" fontId="5" numFmtId="0" xfId="0" applyAlignment="1" applyFont="1">
      <alignment horizontal="center" vertical="bottom"/>
    </xf>
    <xf borderId="0" fillId="16" fontId="5" numFmtId="49" xfId="0" applyFont="1" applyNumberFormat="1"/>
    <xf borderId="0" fillId="3" fontId="5" numFmtId="165" xfId="0" applyFont="1" applyNumberFormat="1"/>
    <xf borderId="0" fillId="3" fontId="5" numFmtId="164" xfId="0" applyFont="1" applyNumberFormat="1"/>
    <xf borderId="0" fillId="3" fontId="5" numFmtId="0" xfId="0" applyFont="1"/>
    <xf borderId="0" fillId="3" fontId="5" numFmtId="49" xfId="0" applyFont="1" applyNumberFormat="1"/>
    <xf borderId="0" fillId="17" fontId="5" numFmtId="0" xfId="0" applyFill="1" applyFont="1"/>
    <xf borderId="0" fillId="12" fontId="5" numFmtId="170" xfId="0" applyFont="1" applyNumberFormat="1"/>
    <xf borderId="0" fillId="7" fontId="5" numFmtId="49" xfId="0" applyFont="1" applyNumberFormat="1"/>
    <xf quotePrefix="1" borderId="0" fillId="7" fontId="5" numFmtId="0" xfId="0" applyFont="1"/>
    <xf quotePrefix="1" borderId="0" fillId="9" fontId="5" numFmtId="49" xfId="0" applyFont="1" applyNumberFormat="1"/>
    <xf borderId="1" fillId="18" fontId="4" numFmtId="0" xfId="0" applyAlignment="1" applyBorder="1" applyFill="1" applyFont="1">
      <alignment vertical="bottom"/>
    </xf>
    <xf borderId="0" fillId="3" fontId="5" numFmtId="169" xfId="0" applyFont="1" applyNumberFormat="1"/>
    <xf quotePrefix="1" borderId="0" fillId="3" fontId="5" numFmtId="0" xfId="0" applyFont="1"/>
    <xf quotePrefix="1" borderId="0" fillId="3" fontId="5" numFmtId="49" xfId="0" applyFont="1" applyNumberFormat="1"/>
    <xf borderId="0" fillId="19" fontId="5" numFmtId="165" xfId="0" applyFill="1" applyFont="1" applyNumberFormat="1"/>
    <xf borderId="0" fillId="19" fontId="5" numFmtId="0" xfId="0" applyAlignment="1" applyFont="1">
      <alignment horizontal="center"/>
    </xf>
    <xf borderId="0" fillId="19" fontId="5" numFmtId="164" xfId="0" applyFont="1" applyNumberFormat="1"/>
    <xf borderId="0" fillId="19" fontId="5" numFmtId="0" xfId="0" applyFont="1"/>
    <xf borderId="0" fillId="19" fontId="5" numFmtId="169" xfId="0" applyFont="1" applyNumberFormat="1"/>
    <xf quotePrefix="1" borderId="0" fillId="19" fontId="5" numFmtId="49" xfId="0" applyFont="1" applyNumberFormat="1"/>
    <xf borderId="0" fillId="10" fontId="5" numFmtId="169" xfId="0" applyFont="1" applyNumberFormat="1"/>
    <xf borderId="0" fillId="10" fontId="5" numFmtId="49" xfId="0" applyFont="1" applyNumberFormat="1"/>
    <xf borderId="0" fillId="20" fontId="5" numFmtId="165" xfId="0" applyFill="1" applyFont="1" applyNumberFormat="1"/>
    <xf borderId="0" fillId="20" fontId="5" numFmtId="0" xfId="0" applyAlignment="1" applyFont="1">
      <alignment horizontal="center"/>
    </xf>
    <xf borderId="0" fillId="20" fontId="5" numFmtId="164" xfId="0" applyFont="1" applyNumberFormat="1"/>
    <xf borderId="0" fillId="20" fontId="5" numFmtId="0" xfId="0" applyFont="1"/>
    <xf quotePrefix="1" borderId="0" fillId="20" fontId="5" numFmtId="49" xfId="0" applyFont="1" applyNumberFormat="1"/>
    <xf quotePrefix="1" borderId="0" fillId="20" fontId="5" numFmtId="0" xfId="0" applyFont="1"/>
    <xf borderId="0" fillId="12" fontId="5" numFmtId="165" xfId="0" applyFont="1" applyNumberFormat="1"/>
    <xf borderId="0" fillId="12" fontId="5" numFmtId="164" xfId="0" applyFont="1" applyNumberFormat="1"/>
    <xf quotePrefix="1" borderId="0" fillId="12" fontId="5" numFmtId="49" xfId="0" applyFont="1" applyNumberFormat="1"/>
    <xf borderId="0" fillId="12" fontId="5" numFmtId="169" xfId="0" applyFont="1" applyNumberFormat="1"/>
    <xf borderId="0" fillId="0" fontId="5" numFmtId="165" xfId="0" applyFont="1" applyNumberFormat="1"/>
    <xf borderId="0" fillId="0" fontId="5" numFmtId="164" xfId="0" applyFont="1" applyNumberFormat="1"/>
    <xf quotePrefix="1" borderId="0" fillId="0" fontId="5" numFmtId="0" xfId="0" applyFont="1"/>
    <xf quotePrefix="1" borderId="0" fillId="0" fontId="5" numFmtId="49" xfId="0" applyFont="1" applyNumberFormat="1"/>
    <xf borderId="0" fillId="0" fontId="5" numFmtId="164" xfId="0" applyAlignment="1" applyFont="1" applyNumberFormat="1">
      <alignment horizontal="center"/>
    </xf>
    <xf borderId="0" fillId="0" fontId="5" numFmtId="0" xfId="0" applyAlignment="1" applyFont="1">
      <alignment horizontal="left"/>
    </xf>
    <xf borderId="0" fillId="0" fontId="11" numFmtId="49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vertical="bottom"/>
    </xf>
    <xf borderId="0" fillId="0" fontId="11" numFmtId="49" xfId="0" applyFont="1" applyNumberFormat="1"/>
    <xf borderId="0" fillId="0" fontId="11" numFmtId="0" xfId="0" applyFont="1"/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erfuergmail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1" max="1" width="6.75"/>
    <col customWidth="1" min="2" max="2" width="8.63"/>
    <col customWidth="1" min="3" max="3" width="18.88"/>
    <col customWidth="1" min="4" max="4" width="20.63"/>
    <col customWidth="1" min="5" max="5" width="18.63"/>
    <col customWidth="1" min="6" max="6" width="8.5"/>
    <col customWidth="1" min="7" max="7" width="25.25"/>
    <col customWidth="1" min="8" max="8" width="18.63"/>
    <col customWidth="1" min="9" max="9" width="22.13"/>
    <col customWidth="1" min="10" max="10" width="24.13"/>
    <col customWidth="1" min="11" max="11" width="50.25"/>
    <col customWidth="1" min="12" max="12" width="7.75"/>
    <col customWidth="1" min="13" max="13" width="7.63"/>
    <col customWidth="1" min="14" max="14" width="34.0"/>
    <col customWidth="1" min="15" max="15" width="64.88"/>
    <col customWidth="1" min="16" max="16" width="54.75"/>
    <col customWidth="1" min="17" max="17" width="51.0"/>
    <col customWidth="1" min="18" max="18" width="83.25"/>
    <col customWidth="1" min="19" max="19" width="69.38"/>
    <col customWidth="1" min="20" max="20" width="44.88"/>
    <col customWidth="1" min="21" max="21" width="77.25"/>
    <col customWidth="1" min="22" max="22" width="42.0"/>
    <col customWidth="1" min="23" max="23" width="32.25"/>
    <col customWidth="1" min="24" max="24" width="29.75"/>
    <col customWidth="1" min="25" max="25" width="18.88"/>
    <col customWidth="1" min="26" max="26" width="52.63"/>
    <col customWidth="1" min="27" max="27" width="24.25"/>
    <col customWidth="1" min="28" max="28" width="61.25"/>
    <col customWidth="1" min="29" max="29" width="46.0"/>
    <col customWidth="1" min="30" max="30" width="38.13"/>
    <col customWidth="1" min="31" max="31" width="36.25"/>
    <col customWidth="1" min="32" max="32" width="13.5"/>
    <col customWidth="1" min="33" max="33" width="47.5"/>
    <col customWidth="1" min="34" max="34" width="32.88"/>
    <col customWidth="1" min="35" max="35" width="30.63"/>
    <col customWidth="1" hidden="1" min="36" max="36" width="29.38"/>
    <col customWidth="1" min="37" max="37" width="20.88"/>
    <col customWidth="1" min="38" max="38" width="17.38"/>
    <col customWidth="1" min="39" max="39" width="17.75"/>
    <col customWidth="1" hidden="1" min="40" max="41" width="18.88"/>
    <col customWidth="1" hidden="1" min="42" max="42" width="38.88"/>
    <col customWidth="1" hidden="1" min="43" max="46" width="18.88"/>
    <col customWidth="1" hidden="1" min="47" max="47" width="25.63"/>
    <col customWidth="1" hidden="1" min="48" max="48" width="60.25"/>
    <col customWidth="1" hidden="1" min="49" max="49" width="16.5"/>
    <col customWidth="1" hidden="1" min="50" max="57" width="18.88"/>
    <col customWidth="1" min="58" max="58" width="19.88"/>
    <col customWidth="1" min="59" max="59" width="18.0"/>
    <col customWidth="1" min="60" max="60" width="17.13"/>
    <col customWidth="1" min="61" max="61" width="15.88"/>
    <col customWidth="1" min="62" max="62" width="17.5"/>
    <col customWidth="1" min="63" max="63" width="11.25"/>
    <col customWidth="1" min="64" max="66" width="18.88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5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6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7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8" t="s">
        <v>60</v>
      </c>
      <c r="BJ1" s="8" t="s">
        <v>61</v>
      </c>
      <c r="BK1" s="8" t="s">
        <v>62</v>
      </c>
      <c r="BL1" s="2" t="s">
        <v>63</v>
      </c>
      <c r="BM1" s="2" t="s">
        <v>64</v>
      </c>
      <c r="BN1" s="2" t="s">
        <v>65</v>
      </c>
    </row>
    <row r="2" ht="15.75" customHeight="1">
      <c r="A2" s="1">
        <v>1.0</v>
      </c>
      <c r="B2" s="2">
        <v>1.0</v>
      </c>
      <c r="C2" s="9">
        <v>44851.80353071759</v>
      </c>
      <c r="D2" s="10" t="s">
        <v>66</v>
      </c>
      <c r="E2" s="11">
        <v>33694.0</v>
      </c>
      <c r="F2" s="10" t="s">
        <v>67</v>
      </c>
      <c r="G2" s="10" t="s">
        <v>68</v>
      </c>
      <c r="H2" s="10">
        <v>3.425141673E9</v>
      </c>
      <c r="I2" s="10" t="s">
        <v>69</v>
      </c>
      <c r="J2" s="10" t="s">
        <v>70</v>
      </c>
      <c r="K2" s="10" t="s">
        <v>71</v>
      </c>
      <c r="L2" s="10">
        <v>52.0</v>
      </c>
      <c r="M2" s="10" t="s">
        <v>72</v>
      </c>
      <c r="N2" s="10" t="s">
        <v>73</v>
      </c>
      <c r="O2" s="10"/>
      <c r="P2" s="10" t="s">
        <v>74</v>
      </c>
      <c r="Q2" s="10"/>
      <c r="R2" s="10" t="s">
        <v>73</v>
      </c>
      <c r="S2" s="10" t="s">
        <v>73</v>
      </c>
      <c r="T2" s="10" t="s">
        <v>73</v>
      </c>
      <c r="U2" s="10" t="s">
        <v>73</v>
      </c>
      <c r="V2" s="10"/>
      <c r="W2" s="10"/>
      <c r="X2" s="10"/>
      <c r="Y2" s="10" t="s">
        <v>73</v>
      </c>
      <c r="Z2" s="10"/>
      <c r="AA2" s="10" t="s">
        <v>75</v>
      </c>
      <c r="AB2" s="12" t="s">
        <v>76</v>
      </c>
      <c r="AC2" s="10" t="s">
        <v>77</v>
      </c>
      <c r="AD2" s="10" t="s">
        <v>78</v>
      </c>
      <c r="AE2" s="13" t="s">
        <v>79</v>
      </c>
      <c r="AF2" s="6" t="s">
        <v>80</v>
      </c>
      <c r="AG2" s="10" t="s">
        <v>81</v>
      </c>
      <c r="AH2" s="10" t="s">
        <v>82</v>
      </c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4">
        <v>44867.0</v>
      </c>
      <c r="BG2" s="7" t="s">
        <v>75</v>
      </c>
      <c r="BH2" s="7" t="s">
        <v>1</v>
      </c>
      <c r="BI2" s="15">
        <f t="shared" ref="BI2:BI312" si="1">YEAR(BF2)-YEAR(E2)</f>
        <v>30</v>
      </c>
      <c r="BJ2" s="15" t="str">
        <f t="shared" ref="BJ2:BJ98" si="2">IF(BI2&lt;36, "18-35", IF(BI2&lt;56, "35-55", "&gt;55"))</f>
        <v>18-35</v>
      </c>
      <c r="BK2" s="15" t="s">
        <v>75</v>
      </c>
      <c r="BL2" s="15" t="s">
        <v>75</v>
      </c>
      <c r="BM2" s="16">
        <v>45596.0</v>
      </c>
      <c r="BN2" s="10" t="s">
        <v>80</v>
      </c>
    </row>
    <row r="3" ht="15.75" customHeight="1">
      <c r="A3" s="1">
        <v>2.0</v>
      </c>
      <c r="B3" s="2">
        <v>2.0</v>
      </c>
      <c r="C3" s="17">
        <v>44852.44826012732</v>
      </c>
      <c r="D3" s="18" t="s">
        <v>83</v>
      </c>
      <c r="E3" s="19">
        <v>25944.0</v>
      </c>
      <c r="F3" s="18" t="s">
        <v>67</v>
      </c>
      <c r="G3" s="18" t="s">
        <v>84</v>
      </c>
      <c r="H3" s="18">
        <v>1.133701213E9</v>
      </c>
      <c r="I3" s="18" t="s">
        <v>69</v>
      </c>
      <c r="J3" s="18" t="s">
        <v>85</v>
      </c>
      <c r="K3" s="18" t="s">
        <v>86</v>
      </c>
      <c r="L3" s="18">
        <v>66.0</v>
      </c>
      <c r="M3" s="18" t="s">
        <v>87</v>
      </c>
      <c r="N3" s="18" t="s">
        <v>73</v>
      </c>
      <c r="O3" s="18"/>
      <c r="P3" s="18" t="s">
        <v>74</v>
      </c>
      <c r="Q3" s="18"/>
      <c r="R3" s="18" t="s">
        <v>75</v>
      </c>
      <c r="S3" s="18" t="s">
        <v>73</v>
      </c>
      <c r="T3" s="18" t="s">
        <v>73</v>
      </c>
      <c r="U3" s="18" t="s">
        <v>75</v>
      </c>
      <c r="V3" s="18" t="s">
        <v>88</v>
      </c>
      <c r="W3" s="18" t="s">
        <v>89</v>
      </c>
      <c r="X3" s="18"/>
      <c r="Y3" s="18"/>
      <c r="Z3" s="18"/>
      <c r="AA3" s="18"/>
      <c r="AB3" s="20"/>
      <c r="AC3" s="18"/>
      <c r="AD3" s="18"/>
      <c r="AE3" s="18"/>
      <c r="AF3" s="6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4">
        <v>45657.0</v>
      </c>
      <c r="BG3" s="7" t="s">
        <v>73</v>
      </c>
      <c r="BH3" s="7"/>
      <c r="BI3" s="15">
        <f t="shared" si="1"/>
        <v>53</v>
      </c>
      <c r="BJ3" s="15" t="str">
        <f t="shared" si="2"/>
        <v>35-55</v>
      </c>
      <c r="BK3" s="15"/>
      <c r="BL3" s="7"/>
      <c r="BM3" s="7"/>
      <c r="BN3" s="18"/>
    </row>
    <row r="4" ht="15.75" customHeight="1">
      <c r="A4" s="1">
        <v>3.0</v>
      </c>
      <c r="B4" s="2">
        <v>3.0</v>
      </c>
      <c r="C4" s="9">
        <v>44852.460688796295</v>
      </c>
      <c r="D4" s="10" t="s">
        <v>90</v>
      </c>
      <c r="E4" s="11">
        <v>34614.0</v>
      </c>
      <c r="F4" s="10" t="s">
        <v>67</v>
      </c>
      <c r="G4" s="10" t="s">
        <v>91</v>
      </c>
      <c r="H4" s="10">
        <v>2.994289125E9</v>
      </c>
      <c r="I4" s="10" t="s">
        <v>92</v>
      </c>
      <c r="J4" s="10" t="s">
        <v>85</v>
      </c>
      <c r="K4" s="10" t="s">
        <v>86</v>
      </c>
      <c r="L4" s="10">
        <v>65.0</v>
      </c>
      <c r="M4" s="10" t="s">
        <v>93</v>
      </c>
      <c r="N4" s="10" t="s">
        <v>73</v>
      </c>
      <c r="O4" s="10"/>
      <c r="P4" s="10" t="s">
        <v>74</v>
      </c>
      <c r="Q4" s="10"/>
      <c r="R4" s="10" t="s">
        <v>73</v>
      </c>
      <c r="S4" s="10" t="s">
        <v>73</v>
      </c>
      <c r="T4" s="10" t="s">
        <v>73</v>
      </c>
      <c r="U4" s="10" t="s">
        <v>73</v>
      </c>
      <c r="V4" s="10"/>
      <c r="W4" s="10"/>
      <c r="X4" s="10"/>
      <c r="Y4" s="10" t="s">
        <v>73</v>
      </c>
      <c r="Z4" s="10"/>
      <c r="AA4" s="10" t="s">
        <v>75</v>
      </c>
      <c r="AB4" s="12" t="s">
        <v>76</v>
      </c>
      <c r="AC4" s="10" t="s">
        <v>77</v>
      </c>
      <c r="AD4" s="10" t="s">
        <v>94</v>
      </c>
      <c r="AE4" s="13" t="s">
        <v>79</v>
      </c>
      <c r="AF4" s="6"/>
      <c r="AG4" s="10" t="s">
        <v>95</v>
      </c>
      <c r="AH4" s="10" t="s">
        <v>96</v>
      </c>
      <c r="AI4" s="21" t="s">
        <v>97</v>
      </c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4">
        <v>44867.0</v>
      </c>
      <c r="BG4" s="7" t="s">
        <v>75</v>
      </c>
      <c r="BH4" s="7" t="s">
        <v>1</v>
      </c>
      <c r="BI4" s="15">
        <f t="shared" si="1"/>
        <v>28</v>
      </c>
      <c r="BJ4" s="15" t="str">
        <f t="shared" si="2"/>
        <v>18-35</v>
      </c>
      <c r="BK4" s="15" t="s">
        <v>75</v>
      </c>
      <c r="BL4" s="22" t="s">
        <v>98</v>
      </c>
      <c r="BM4" s="7"/>
      <c r="BN4" s="10"/>
    </row>
    <row r="5" ht="15.75" customHeight="1">
      <c r="A5" s="1">
        <v>4.0</v>
      </c>
      <c r="B5" s="2">
        <v>4.0</v>
      </c>
      <c r="C5" s="9">
        <v>44852.46463674768</v>
      </c>
      <c r="D5" s="10" t="s">
        <v>99</v>
      </c>
      <c r="E5" s="11">
        <v>35439.0</v>
      </c>
      <c r="F5" s="10" t="s">
        <v>67</v>
      </c>
      <c r="G5" s="10" t="s">
        <v>100</v>
      </c>
      <c r="H5" s="10">
        <v>1.151601103E9</v>
      </c>
      <c r="I5" s="10" t="s">
        <v>92</v>
      </c>
      <c r="J5" s="10" t="s">
        <v>85</v>
      </c>
      <c r="K5" s="10" t="s">
        <v>86</v>
      </c>
      <c r="L5" s="10">
        <v>56.0</v>
      </c>
      <c r="M5" s="10" t="s">
        <v>101</v>
      </c>
      <c r="N5" s="10" t="s">
        <v>73</v>
      </c>
      <c r="O5" s="10"/>
      <c r="P5" s="10" t="s">
        <v>74</v>
      </c>
      <c r="Q5" s="10"/>
      <c r="R5" s="10" t="s">
        <v>73</v>
      </c>
      <c r="S5" s="10" t="s">
        <v>73</v>
      </c>
      <c r="T5" s="10" t="s">
        <v>73</v>
      </c>
      <c r="U5" s="10" t="s">
        <v>73</v>
      </c>
      <c r="V5" s="10"/>
      <c r="W5" s="10"/>
      <c r="X5" s="10"/>
      <c r="Y5" s="10" t="s">
        <v>73</v>
      </c>
      <c r="Z5" s="10"/>
      <c r="AA5" s="10" t="s">
        <v>75</v>
      </c>
      <c r="AB5" s="12" t="s">
        <v>76</v>
      </c>
      <c r="AC5" s="10" t="s">
        <v>77</v>
      </c>
      <c r="AD5" s="10" t="s">
        <v>94</v>
      </c>
      <c r="AE5" s="13" t="s">
        <v>79</v>
      </c>
      <c r="AF5" s="6"/>
      <c r="AG5" s="10" t="s">
        <v>95</v>
      </c>
      <c r="AH5" s="10" t="s">
        <v>102</v>
      </c>
      <c r="AI5" s="21" t="s">
        <v>103</v>
      </c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4">
        <v>44916.0</v>
      </c>
      <c r="BG5" s="7" t="s">
        <v>75</v>
      </c>
      <c r="BH5" s="7" t="s">
        <v>104</v>
      </c>
      <c r="BI5" s="15">
        <f t="shared" si="1"/>
        <v>25</v>
      </c>
      <c r="BJ5" s="15" t="str">
        <f t="shared" si="2"/>
        <v>18-35</v>
      </c>
      <c r="BK5" s="15" t="s">
        <v>75</v>
      </c>
      <c r="BL5" s="15" t="s">
        <v>75</v>
      </c>
      <c r="BM5" s="16">
        <v>45596.0</v>
      </c>
      <c r="BN5" s="10"/>
    </row>
    <row r="6" ht="15.75" customHeight="1">
      <c r="A6" s="1">
        <v>5.0</v>
      </c>
      <c r="B6" s="2">
        <v>5.0</v>
      </c>
      <c r="C6" s="9">
        <v>44852.671459375</v>
      </c>
      <c r="D6" s="10" t="s">
        <v>105</v>
      </c>
      <c r="E6" s="11">
        <v>34110.0</v>
      </c>
      <c r="F6" s="10" t="s">
        <v>106</v>
      </c>
      <c r="G6" s="10" t="s">
        <v>107</v>
      </c>
      <c r="H6" s="23" t="s">
        <v>108</v>
      </c>
      <c r="I6" s="10" t="s">
        <v>69</v>
      </c>
      <c r="J6" s="10" t="s">
        <v>109</v>
      </c>
      <c r="K6" s="10" t="s">
        <v>86</v>
      </c>
      <c r="L6" s="10">
        <v>75.0</v>
      </c>
      <c r="M6" s="10" t="s">
        <v>110</v>
      </c>
      <c r="N6" s="10" t="s">
        <v>75</v>
      </c>
      <c r="O6" s="10" t="s">
        <v>111</v>
      </c>
      <c r="P6" s="10" t="s">
        <v>74</v>
      </c>
      <c r="Q6" s="10"/>
      <c r="R6" s="10" t="s">
        <v>73</v>
      </c>
      <c r="S6" s="10" t="s">
        <v>73</v>
      </c>
      <c r="T6" s="10" t="s">
        <v>73</v>
      </c>
      <c r="U6" s="10" t="s">
        <v>73</v>
      </c>
      <c r="V6" s="10"/>
      <c r="W6" s="10"/>
      <c r="X6" s="10"/>
      <c r="Y6" s="10" t="s">
        <v>75</v>
      </c>
      <c r="Z6" s="24">
        <v>45566.0</v>
      </c>
      <c r="AA6" s="10" t="s">
        <v>75</v>
      </c>
      <c r="AB6" s="12" t="s">
        <v>112</v>
      </c>
      <c r="AC6" s="10" t="s">
        <v>77</v>
      </c>
      <c r="AD6" s="10" t="s">
        <v>78</v>
      </c>
      <c r="AE6" s="13" t="s">
        <v>113</v>
      </c>
      <c r="AF6" s="6"/>
      <c r="AG6" s="10" t="s">
        <v>82</v>
      </c>
      <c r="AH6" s="10" t="s">
        <v>82</v>
      </c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4">
        <v>44867.0</v>
      </c>
      <c r="BG6" s="7" t="s">
        <v>75</v>
      </c>
      <c r="BH6" s="7" t="s">
        <v>1</v>
      </c>
      <c r="BI6" s="15">
        <f t="shared" si="1"/>
        <v>29</v>
      </c>
      <c r="BJ6" s="15" t="str">
        <f t="shared" si="2"/>
        <v>18-35</v>
      </c>
      <c r="BK6" s="15" t="s">
        <v>75</v>
      </c>
      <c r="BL6" s="25" t="s">
        <v>114</v>
      </c>
      <c r="BM6" s="7"/>
      <c r="BN6" s="10"/>
    </row>
    <row r="7" ht="15.75" customHeight="1">
      <c r="A7" s="1">
        <v>6.0</v>
      </c>
      <c r="B7" s="2">
        <v>6.0</v>
      </c>
      <c r="C7" s="17">
        <v>44853.45844265046</v>
      </c>
      <c r="D7" s="18" t="s">
        <v>115</v>
      </c>
      <c r="E7" s="19">
        <v>33660.0</v>
      </c>
      <c r="F7" s="18" t="s">
        <v>67</v>
      </c>
      <c r="G7" s="18" t="s">
        <v>116</v>
      </c>
      <c r="H7" s="18">
        <v>1.160326154E9</v>
      </c>
      <c r="I7" s="18" t="s">
        <v>92</v>
      </c>
      <c r="J7" s="18" t="s">
        <v>109</v>
      </c>
      <c r="K7" s="18" t="s">
        <v>71</v>
      </c>
      <c r="L7" s="18">
        <v>61.0</v>
      </c>
      <c r="M7" s="18" t="s">
        <v>87</v>
      </c>
      <c r="N7" s="18" t="s">
        <v>75</v>
      </c>
      <c r="O7" s="18" t="s">
        <v>117</v>
      </c>
      <c r="P7" s="18" t="s">
        <v>74</v>
      </c>
      <c r="Q7" s="18"/>
      <c r="R7" s="18" t="s">
        <v>75</v>
      </c>
      <c r="S7" s="18" t="s">
        <v>73</v>
      </c>
      <c r="T7" s="18" t="s">
        <v>73</v>
      </c>
      <c r="U7" s="18" t="s">
        <v>75</v>
      </c>
      <c r="V7" s="18" t="s">
        <v>118</v>
      </c>
      <c r="W7" s="18" t="s">
        <v>119</v>
      </c>
      <c r="X7" s="18"/>
      <c r="Y7" s="18"/>
      <c r="Z7" s="18"/>
      <c r="AA7" s="18"/>
      <c r="AB7" s="20"/>
      <c r="AC7" s="18"/>
      <c r="AD7" s="18"/>
      <c r="AE7" s="18"/>
      <c r="AF7" s="6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4">
        <v>45657.0</v>
      </c>
      <c r="BG7" s="7" t="s">
        <v>73</v>
      </c>
      <c r="BH7" s="7"/>
      <c r="BI7" s="15">
        <f t="shared" si="1"/>
        <v>32</v>
      </c>
      <c r="BJ7" s="15" t="str">
        <f t="shared" si="2"/>
        <v>18-35</v>
      </c>
      <c r="BK7" s="15"/>
      <c r="BL7" s="7"/>
      <c r="BM7" s="7"/>
      <c r="BN7" s="18"/>
    </row>
    <row r="8" ht="15.75" customHeight="1">
      <c r="A8" s="1">
        <v>7.0</v>
      </c>
      <c r="B8" s="2">
        <v>7.0</v>
      </c>
      <c r="C8" s="17">
        <v>44853.48453177084</v>
      </c>
      <c r="D8" s="18" t="s">
        <v>120</v>
      </c>
      <c r="E8" s="19">
        <v>27042.0</v>
      </c>
      <c r="F8" s="18" t="s">
        <v>67</v>
      </c>
      <c r="G8" s="18" t="s">
        <v>121</v>
      </c>
      <c r="H8" s="18" t="s">
        <v>122</v>
      </c>
      <c r="I8" s="18" t="s">
        <v>92</v>
      </c>
      <c r="J8" s="18" t="s">
        <v>85</v>
      </c>
      <c r="K8" s="18" t="s">
        <v>86</v>
      </c>
      <c r="L8" s="18">
        <v>58.0</v>
      </c>
      <c r="M8" s="18" t="s">
        <v>123</v>
      </c>
      <c r="N8" s="18" t="s">
        <v>73</v>
      </c>
      <c r="O8" s="18"/>
      <c r="P8" s="18" t="s">
        <v>74</v>
      </c>
      <c r="Q8" s="18"/>
      <c r="R8" s="18" t="s">
        <v>73</v>
      </c>
      <c r="S8" s="18" t="s">
        <v>73</v>
      </c>
      <c r="T8" s="18" t="s">
        <v>73</v>
      </c>
      <c r="U8" s="18" t="s">
        <v>73</v>
      </c>
      <c r="V8" s="18"/>
      <c r="W8" s="18"/>
      <c r="X8" s="18"/>
      <c r="Y8" s="18"/>
      <c r="Z8" s="18"/>
      <c r="AA8" s="18"/>
      <c r="AB8" s="20"/>
      <c r="AC8" s="18"/>
      <c r="AD8" s="18"/>
      <c r="AE8" s="18"/>
      <c r="AF8" s="6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4">
        <v>45657.0</v>
      </c>
      <c r="BG8" s="7" t="s">
        <v>73</v>
      </c>
      <c r="BH8" s="7"/>
      <c r="BI8" s="15">
        <f t="shared" si="1"/>
        <v>50</v>
      </c>
      <c r="BJ8" s="15" t="str">
        <f t="shared" si="2"/>
        <v>35-55</v>
      </c>
      <c r="BK8" s="15"/>
      <c r="BL8" s="7"/>
      <c r="BM8" s="7"/>
      <c r="BN8" s="18"/>
    </row>
    <row r="9" ht="15.75" customHeight="1">
      <c r="A9" s="1">
        <v>8.0</v>
      </c>
      <c r="B9" s="2">
        <v>8.0</v>
      </c>
      <c r="C9" s="17">
        <v>44853.49347165509</v>
      </c>
      <c r="D9" s="18" t="s">
        <v>124</v>
      </c>
      <c r="E9" s="19">
        <v>22909.0</v>
      </c>
      <c r="F9" s="18" t="s">
        <v>67</v>
      </c>
      <c r="G9" s="18" t="s">
        <v>125</v>
      </c>
      <c r="H9" s="18">
        <v>1.155034683E9</v>
      </c>
      <c r="I9" s="18" t="s">
        <v>92</v>
      </c>
      <c r="J9" s="18" t="s">
        <v>85</v>
      </c>
      <c r="K9" s="18" t="s">
        <v>86</v>
      </c>
      <c r="L9" s="18">
        <v>73.0</v>
      </c>
      <c r="M9" s="18" t="s">
        <v>126</v>
      </c>
      <c r="N9" s="18" t="s">
        <v>73</v>
      </c>
      <c r="O9" s="18"/>
      <c r="P9" s="18" t="s">
        <v>74</v>
      </c>
      <c r="Q9" s="18"/>
      <c r="R9" s="18" t="s">
        <v>73</v>
      </c>
      <c r="S9" s="18" t="s">
        <v>73</v>
      </c>
      <c r="T9" s="18" t="s">
        <v>73</v>
      </c>
      <c r="U9" s="18" t="s">
        <v>75</v>
      </c>
      <c r="V9" s="18" t="s">
        <v>127</v>
      </c>
      <c r="W9" s="18" t="s">
        <v>96</v>
      </c>
      <c r="X9" s="18"/>
      <c r="Y9" s="18"/>
      <c r="Z9" s="18"/>
      <c r="AA9" s="18"/>
      <c r="AB9" s="20"/>
      <c r="AC9" s="18"/>
      <c r="AD9" s="18"/>
      <c r="AE9" s="18"/>
      <c r="AF9" s="6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4">
        <v>45657.0</v>
      </c>
      <c r="BG9" s="7" t="s">
        <v>73</v>
      </c>
      <c r="BH9" s="7"/>
      <c r="BI9" s="15">
        <f t="shared" si="1"/>
        <v>62</v>
      </c>
      <c r="BJ9" s="15" t="str">
        <f t="shared" si="2"/>
        <v>&gt;55</v>
      </c>
      <c r="BK9" s="15"/>
      <c r="BL9" s="7"/>
      <c r="BM9" s="7"/>
      <c r="BN9" s="18"/>
    </row>
    <row r="10" ht="15.75" customHeight="1">
      <c r="A10" s="1">
        <v>9.0</v>
      </c>
      <c r="B10" s="2">
        <v>9.0</v>
      </c>
      <c r="C10" s="9">
        <v>44853.5786071412</v>
      </c>
      <c r="D10" s="10" t="s">
        <v>128</v>
      </c>
      <c r="E10" s="11">
        <v>33151.0</v>
      </c>
      <c r="F10" s="10" t="s">
        <v>106</v>
      </c>
      <c r="G10" s="10" t="s">
        <v>129</v>
      </c>
      <c r="H10" s="10">
        <v>3.435132073E9</v>
      </c>
      <c r="I10" s="10" t="s">
        <v>92</v>
      </c>
      <c r="J10" s="10" t="s">
        <v>85</v>
      </c>
      <c r="K10" s="10" t="s">
        <v>71</v>
      </c>
      <c r="L10" s="10">
        <v>73.0</v>
      </c>
      <c r="M10" s="10" t="s">
        <v>130</v>
      </c>
      <c r="N10" s="10" t="s">
        <v>73</v>
      </c>
      <c r="O10" s="10"/>
      <c r="P10" s="10" t="s">
        <v>74</v>
      </c>
      <c r="Q10" s="10"/>
      <c r="R10" s="10" t="s">
        <v>73</v>
      </c>
      <c r="S10" s="10" t="s">
        <v>73</v>
      </c>
      <c r="T10" s="10" t="s">
        <v>73</v>
      </c>
      <c r="U10" s="10" t="s">
        <v>73</v>
      </c>
      <c r="V10" s="10"/>
      <c r="W10" s="10"/>
      <c r="X10" s="10"/>
      <c r="Y10" s="10" t="s">
        <v>73</v>
      </c>
      <c r="Z10" s="10"/>
      <c r="AA10" s="10" t="s">
        <v>75</v>
      </c>
      <c r="AB10" s="12" t="s">
        <v>76</v>
      </c>
      <c r="AC10" s="10" t="s">
        <v>77</v>
      </c>
      <c r="AD10" s="10" t="s">
        <v>94</v>
      </c>
      <c r="AE10" s="13" t="s">
        <v>131</v>
      </c>
      <c r="AF10" s="6" t="s">
        <v>80</v>
      </c>
      <c r="AG10" s="10" t="s">
        <v>82</v>
      </c>
      <c r="AH10" s="10" t="s">
        <v>82</v>
      </c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4">
        <v>44867.0</v>
      </c>
      <c r="BG10" s="7" t="s">
        <v>75</v>
      </c>
      <c r="BH10" s="7" t="s">
        <v>1</v>
      </c>
      <c r="BI10" s="15">
        <f t="shared" si="1"/>
        <v>32</v>
      </c>
      <c r="BJ10" s="15" t="str">
        <f t="shared" si="2"/>
        <v>18-35</v>
      </c>
      <c r="BK10" s="15" t="s">
        <v>75</v>
      </c>
      <c r="BL10" s="15" t="s">
        <v>75</v>
      </c>
      <c r="BM10" s="16">
        <v>45596.0</v>
      </c>
      <c r="BN10" s="10" t="s">
        <v>80</v>
      </c>
    </row>
    <row r="11" ht="15.75" customHeight="1">
      <c r="A11" s="1">
        <v>10.0</v>
      </c>
      <c r="B11" s="2">
        <v>10.0</v>
      </c>
      <c r="C11" s="17">
        <v>44853.71670435186</v>
      </c>
      <c r="D11" s="18" t="s">
        <v>132</v>
      </c>
      <c r="E11" s="19">
        <v>34647.0</v>
      </c>
      <c r="F11" s="18" t="s">
        <v>106</v>
      </c>
      <c r="G11" s="18" t="s">
        <v>133</v>
      </c>
      <c r="H11" s="18">
        <v>3.434543359E9</v>
      </c>
      <c r="I11" s="18" t="s">
        <v>92</v>
      </c>
      <c r="J11" s="18" t="s">
        <v>85</v>
      </c>
      <c r="K11" s="18" t="s">
        <v>134</v>
      </c>
      <c r="L11" s="18">
        <v>65.0</v>
      </c>
      <c r="M11" s="18">
        <v>1.69</v>
      </c>
      <c r="N11" s="18" t="s">
        <v>73</v>
      </c>
      <c r="O11" s="18"/>
      <c r="P11" s="18" t="s">
        <v>74</v>
      </c>
      <c r="Q11" s="18"/>
      <c r="R11" s="18" t="s">
        <v>73</v>
      </c>
      <c r="S11" s="18" t="s">
        <v>73</v>
      </c>
      <c r="T11" s="18" t="s">
        <v>73</v>
      </c>
      <c r="U11" s="18" t="s">
        <v>73</v>
      </c>
      <c r="V11" s="18"/>
      <c r="W11" s="18"/>
      <c r="X11" s="18"/>
      <c r="Y11" s="18"/>
      <c r="Z11" s="18"/>
      <c r="AA11" s="18"/>
      <c r="AB11" s="20"/>
      <c r="AC11" s="18"/>
      <c r="AD11" s="18"/>
      <c r="AE11" s="18"/>
      <c r="AF11" s="6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4">
        <v>45657.0</v>
      </c>
      <c r="BG11" s="7" t="s">
        <v>73</v>
      </c>
      <c r="BH11" s="7"/>
      <c r="BI11" s="15">
        <f t="shared" si="1"/>
        <v>30</v>
      </c>
      <c r="BJ11" s="15" t="str">
        <f t="shared" si="2"/>
        <v>18-35</v>
      </c>
      <c r="BK11" s="15"/>
      <c r="BL11" s="15"/>
      <c r="BM11" s="7"/>
      <c r="BN11" s="18"/>
    </row>
    <row r="12" ht="15.75" customHeight="1">
      <c r="A12" s="1">
        <v>11.0</v>
      </c>
      <c r="B12" s="2">
        <v>11.0</v>
      </c>
      <c r="C12" s="9">
        <v>44853.74675262731</v>
      </c>
      <c r="D12" s="10" t="s">
        <v>135</v>
      </c>
      <c r="E12" s="11">
        <v>30071.0</v>
      </c>
      <c r="F12" s="10" t="s">
        <v>106</v>
      </c>
      <c r="G12" s="10" t="s">
        <v>136</v>
      </c>
      <c r="H12" s="10">
        <v>1.158150535E9</v>
      </c>
      <c r="I12" s="10" t="s">
        <v>69</v>
      </c>
      <c r="J12" s="10" t="s">
        <v>70</v>
      </c>
      <c r="K12" s="10" t="s">
        <v>71</v>
      </c>
      <c r="L12" s="10">
        <v>78.0</v>
      </c>
      <c r="M12" s="10">
        <v>1.84</v>
      </c>
      <c r="N12" s="10" t="s">
        <v>73</v>
      </c>
      <c r="O12" s="10" t="s">
        <v>137</v>
      </c>
      <c r="P12" s="10" t="s">
        <v>74</v>
      </c>
      <c r="Q12" s="10" t="s">
        <v>137</v>
      </c>
      <c r="R12" s="10" t="s">
        <v>73</v>
      </c>
      <c r="S12" s="10" t="s">
        <v>73</v>
      </c>
      <c r="T12" s="10" t="s">
        <v>73</v>
      </c>
      <c r="U12" s="10" t="s">
        <v>73</v>
      </c>
      <c r="V12" s="10" t="s">
        <v>137</v>
      </c>
      <c r="W12" s="10" t="s">
        <v>137</v>
      </c>
      <c r="X12" s="10"/>
      <c r="Y12" s="10" t="s">
        <v>73</v>
      </c>
      <c r="Z12" s="10"/>
      <c r="AA12" s="10" t="s">
        <v>75</v>
      </c>
      <c r="AB12" s="12" t="s">
        <v>112</v>
      </c>
      <c r="AC12" s="10" t="s">
        <v>77</v>
      </c>
      <c r="AD12" s="10" t="s">
        <v>94</v>
      </c>
      <c r="AE12" s="13" t="s">
        <v>138</v>
      </c>
      <c r="AF12" s="6" t="s">
        <v>139</v>
      </c>
      <c r="AG12" s="10" t="s">
        <v>95</v>
      </c>
      <c r="AH12" s="10" t="s">
        <v>82</v>
      </c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4">
        <v>44916.0</v>
      </c>
      <c r="BG12" s="7" t="s">
        <v>75</v>
      </c>
      <c r="BH12" s="7" t="s">
        <v>104</v>
      </c>
      <c r="BI12" s="15">
        <f t="shared" si="1"/>
        <v>40</v>
      </c>
      <c r="BJ12" s="15" t="str">
        <f t="shared" si="2"/>
        <v>35-55</v>
      </c>
      <c r="BK12" s="15" t="s">
        <v>75</v>
      </c>
      <c r="BL12" s="15" t="s">
        <v>75</v>
      </c>
      <c r="BM12" s="16">
        <v>45596.0</v>
      </c>
      <c r="BN12" s="15" t="s">
        <v>75</v>
      </c>
    </row>
    <row r="13" ht="15.75" customHeight="1">
      <c r="A13" s="1">
        <v>12.0</v>
      </c>
      <c r="B13" s="2">
        <v>12.0</v>
      </c>
      <c r="C13" s="9">
        <v>44853.74739940972</v>
      </c>
      <c r="D13" s="10" t="s">
        <v>140</v>
      </c>
      <c r="E13" s="11">
        <v>31114.0</v>
      </c>
      <c r="F13" s="10" t="s">
        <v>67</v>
      </c>
      <c r="G13" s="10" t="s">
        <v>141</v>
      </c>
      <c r="H13" s="10">
        <v>5.493415851302E12</v>
      </c>
      <c r="I13" s="10" t="s">
        <v>92</v>
      </c>
      <c r="J13" s="10" t="s">
        <v>85</v>
      </c>
      <c r="K13" s="10" t="s">
        <v>86</v>
      </c>
      <c r="L13" s="10">
        <v>45.0</v>
      </c>
      <c r="M13" s="10" t="s">
        <v>142</v>
      </c>
      <c r="N13" s="10" t="s">
        <v>73</v>
      </c>
      <c r="O13" s="10"/>
      <c r="P13" s="10" t="s">
        <v>74</v>
      </c>
      <c r="Q13" s="10"/>
      <c r="R13" s="10" t="s">
        <v>73</v>
      </c>
      <c r="S13" s="10" t="s">
        <v>73</v>
      </c>
      <c r="T13" s="10" t="s">
        <v>73</v>
      </c>
      <c r="U13" s="10" t="s">
        <v>73</v>
      </c>
      <c r="V13" s="10"/>
      <c r="W13" s="10"/>
      <c r="X13" s="10"/>
      <c r="Y13" s="10" t="s">
        <v>73</v>
      </c>
      <c r="Z13" s="10"/>
      <c r="AA13" s="10" t="s">
        <v>75</v>
      </c>
      <c r="AB13" s="12" t="s">
        <v>76</v>
      </c>
      <c r="AC13" s="10" t="s">
        <v>77</v>
      </c>
      <c r="AD13" s="10" t="s">
        <v>78</v>
      </c>
      <c r="AE13" s="13" t="s">
        <v>131</v>
      </c>
      <c r="AF13" s="6" t="s">
        <v>80</v>
      </c>
      <c r="AG13" s="10" t="s">
        <v>81</v>
      </c>
      <c r="AH13" s="10" t="s">
        <v>77</v>
      </c>
      <c r="AI13" s="21" t="s">
        <v>143</v>
      </c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4">
        <v>44895.0</v>
      </c>
      <c r="BG13" s="7" t="s">
        <v>75</v>
      </c>
      <c r="BH13" s="7" t="s">
        <v>1</v>
      </c>
      <c r="BI13" s="15">
        <f t="shared" si="1"/>
        <v>37</v>
      </c>
      <c r="BJ13" s="15" t="str">
        <f t="shared" si="2"/>
        <v>35-55</v>
      </c>
      <c r="BK13" s="15" t="s">
        <v>75</v>
      </c>
      <c r="BL13" s="15" t="s">
        <v>75</v>
      </c>
      <c r="BM13" s="16">
        <v>45596.0</v>
      </c>
      <c r="BN13" s="15" t="s">
        <v>75</v>
      </c>
    </row>
    <row r="14" ht="15.75" customHeight="1">
      <c r="A14" s="1">
        <v>13.0</v>
      </c>
      <c r="B14" s="2">
        <v>13.0</v>
      </c>
      <c r="C14" s="9">
        <v>44853.7724228588</v>
      </c>
      <c r="D14" s="10" t="s">
        <v>144</v>
      </c>
      <c r="E14" s="11">
        <v>17248.0</v>
      </c>
      <c r="F14" s="10" t="s">
        <v>67</v>
      </c>
      <c r="G14" s="10" t="s">
        <v>145</v>
      </c>
      <c r="H14" s="10">
        <v>1.153387123E9</v>
      </c>
      <c r="I14" s="10" t="s">
        <v>69</v>
      </c>
      <c r="J14" s="10" t="s">
        <v>146</v>
      </c>
      <c r="K14" s="10" t="s">
        <v>71</v>
      </c>
      <c r="L14" s="10">
        <v>70.0</v>
      </c>
      <c r="M14" s="10" t="s">
        <v>147</v>
      </c>
      <c r="N14" s="10" t="s">
        <v>75</v>
      </c>
      <c r="O14" s="10" t="s">
        <v>148</v>
      </c>
      <c r="P14" s="10" t="s">
        <v>74</v>
      </c>
      <c r="Q14" s="10"/>
      <c r="R14" s="10" t="s">
        <v>73</v>
      </c>
      <c r="S14" s="10" t="s">
        <v>73</v>
      </c>
      <c r="T14" s="10" t="s">
        <v>73</v>
      </c>
      <c r="U14" s="10" t="s">
        <v>75</v>
      </c>
      <c r="V14" s="10" t="s">
        <v>149</v>
      </c>
      <c r="W14" s="10" t="s">
        <v>150</v>
      </c>
      <c r="X14" s="10"/>
      <c r="Y14" s="10" t="s">
        <v>73</v>
      </c>
      <c r="Z14" s="10"/>
      <c r="AA14" s="10" t="s">
        <v>75</v>
      </c>
      <c r="AB14" s="12" t="s">
        <v>76</v>
      </c>
      <c r="AC14" s="10" t="s">
        <v>77</v>
      </c>
      <c r="AD14" s="10" t="s">
        <v>78</v>
      </c>
      <c r="AE14" s="13" t="s">
        <v>131</v>
      </c>
      <c r="AF14" s="6" t="s">
        <v>151</v>
      </c>
      <c r="AG14" s="10" t="s">
        <v>95</v>
      </c>
      <c r="AH14" s="10" t="s">
        <v>96</v>
      </c>
      <c r="AI14" s="21" t="s">
        <v>152</v>
      </c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4">
        <v>44867.0</v>
      </c>
      <c r="BG14" s="7" t="s">
        <v>75</v>
      </c>
      <c r="BH14" s="7" t="s">
        <v>1</v>
      </c>
      <c r="BI14" s="15">
        <f t="shared" si="1"/>
        <v>75</v>
      </c>
      <c r="BJ14" s="15" t="str">
        <f t="shared" si="2"/>
        <v>&gt;55</v>
      </c>
      <c r="BK14" s="15" t="s">
        <v>75</v>
      </c>
      <c r="BL14" s="15" t="s">
        <v>75</v>
      </c>
      <c r="BM14" s="16">
        <v>45596.0</v>
      </c>
      <c r="BN14" s="15" t="s">
        <v>75</v>
      </c>
    </row>
    <row r="15" ht="15.75" customHeight="1">
      <c r="A15" s="1">
        <v>14.0</v>
      </c>
      <c r="B15" s="2">
        <v>14.0</v>
      </c>
      <c r="C15" s="17">
        <v>44853.87147384259</v>
      </c>
      <c r="D15" s="18" t="s">
        <v>153</v>
      </c>
      <c r="E15" s="19">
        <v>31859.0</v>
      </c>
      <c r="F15" s="18" t="s">
        <v>67</v>
      </c>
      <c r="G15" s="18" t="s">
        <v>154</v>
      </c>
      <c r="H15" s="18">
        <v>3.416717557E9</v>
      </c>
      <c r="I15" s="18" t="s">
        <v>92</v>
      </c>
      <c r="J15" s="18" t="s">
        <v>70</v>
      </c>
      <c r="K15" s="18" t="s">
        <v>86</v>
      </c>
      <c r="L15" s="18">
        <v>63.0</v>
      </c>
      <c r="M15" s="18" t="s">
        <v>93</v>
      </c>
      <c r="N15" s="18" t="s">
        <v>73</v>
      </c>
      <c r="O15" s="18"/>
      <c r="P15" s="18" t="s">
        <v>74</v>
      </c>
      <c r="Q15" s="18"/>
      <c r="R15" s="18" t="s">
        <v>73</v>
      </c>
      <c r="S15" s="18" t="s">
        <v>73</v>
      </c>
      <c r="T15" s="18" t="s">
        <v>73</v>
      </c>
      <c r="U15" s="18" t="s">
        <v>73</v>
      </c>
      <c r="V15" s="18"/>
      <c r="W15" s="18"/>
      <c r="X15" s="18"/>
      <c r="Y15" s="18"/>
      <c r="Z15" s="18"/>
      <c r="AA15" s="18"/>
      <c r="AB15" s="20"/>
      <c r="AC15" s="18"/>
      <c r="AD15" s="18"/>
      <c r="AE15" s="18"/>
      <c r="AF15" s="6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4">
        <v>45657.0</v>
      </c>
      <c r="BG15" s="7" t="s">
        <v>73</v>
      </c>
      <c r="BH15" s="7"/>
      <c r="BI15" s="15">
        <f t="shared" si="1"/>
        <v>37</v>
      </c>
      <c r="BJ15" s="15" t="str">
        <f t="shared" si="2"/>
        <v>35-55</v>
      </c>
      <c r="BK15" s="15"/>
      <c r="BL15" s="7"/>
      <c r="BM15" s="7"/>
      <c r="BN15" s="18"/>
    </row>
    <row r="16" ht="15.75" customHeight="1">
      <c r="A16" s="1">
        <v>16.0</v>
      </c>
      <c r="B16" s="2">
        <v>15.0</v>
      </c>
      <c r="C16" s="17">
        <v>44854.454486689814</v>
      </c>
      <c r="D16" s="18" t="s">
        <v>155</v>
      </c>
      <c r="E16" s="19">
        <v>34305.0</v>
      </c>
      <c r="F16" s="18" t="s">
        <v>67</v>
      </c>
      <c r="G16" s="18" t="s">
        <v>156</v>
      </c>
      <c r="H16" s="26" t="s">
        <v>157</v>
      </c>
      <c r="I16" s="18" t="s">
        <v>92</v>
      </c>
      <c r="J16" s="18" t="s">
        <v>85</v>
      </c>
      <c r="K16" s="18" t="s">
        <v>86</v>
      </c>
      <c r="L16" s="18">
        <v>46.0</v>
      </c>
      <c r="M16" s="18" t="s">
        <v>158</v>
      </c>
      <c r="N16" s="18" t="s">
        <v>75</v>
      </c>
      <c r="O16" s="18" t="s">
        <v>159</v>
      </c>
      <c r="P16" s="18" t="s">
        <v>74</v>
      </c>
      <c r="Q16" s="18"/>
      <c r="R16" s="18" t="s">
        <v>73</v>
      </c>
      <c r="S16" s="18" t="s">
        <v>73</v>
      </c>
      <c r="T16" s="18" t="s">
        <v>73</v>
      </c>
      <c r="U16" s="18" t="s">
        <v>75</v>
      </c>
      <c r="V16" s="18" t="s">
        <v>118</v>
      </c>
      <c r="W16" s="18" t="s">
        <v>160</v>
      </c>
      <c r="X16" s="18"/>
      <c r="Y16" s="18"/>
      <c r="Z16" s="18"/>
      <c r="AA16" s="18"/>
      <c r="AB16" s="20"/>
      <c r="AC16" s="18"/>
      <c r="AD16" s="18"/>
      <c r="AE16" s="18"/>
      <c r="AF16" s="6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4">
        <v>45657.0</v>
      </c>
      <c r="BG16" s="7" t="s">
        <v>73</v>
      </c>
      <c r="BH16" s="7"/>
      <c r="BI16" s="15">
        <f t="shared" si="1"/>
        <v>31</v>
      </c>
      <c r="BJ16" s="15" t="str">
        <f t="shared" si="2"/>
        <v>18-35</v>
      </c>
      <c r="BK16" s="15"/>
      <c r="BL16" s="7"/>
      <c r="BM16" s="7"/>
      <c r="BN16" s="18"/>
    </row>
    <row r="17" ht="15.75" customHeight="1">
      <c r="A17" s="1">
        <v>18.0</v>
      </c>
      <c r="B17" s="2">
        <v>16.0</v>
      </c>
      <c r="C17" s="17">
        <v>44854.45908615741</v>
      </c>
      <c r="D17" s="18" t="s">
        <v>161</v>
      </c>
      <c r="E17" s="19">
        <v>27430.0</v>
      </c>
      <c r="F17" s="18" t="s">
        <v>67</v>
      </c>
      <c r="G17" s="27" t="s">
        <v>162</v>
      </c>
      <c r="H17" s="18">
        <v>1.135694397E9</v>
      </c>
      <c r="I17" s="18" t="s">
        <v>92</v>
      </c>
      <c r="J17" s="18" t="s">
        <v>85</v>
      </c>
      <c r="K17" s="18" t="s">
        <v>71</v>
      </c>
      <c r="L17" s="18">
        <v>55.0</v>
      </c>
      <c r="M17" s="18" t="s">
        <v>163</v>
      </c>
      <c r="N17" s="18" t="s">
        <v>73</v>
      </c>
      <c r="O17" s="18"/>
      <c r="P17" s="18" t="s">
        <v>74</v>
      </c>
      <c r="Q17" s="18"/>
      <c r="R17" s="18" t="s">
        <v>75</v>
      </c>
      <c r="S17" s="18" t="s">
        <v>73</v>
      </c>
      <c r="T17" s="18" t="s">
        <v>73</v>
      </c>
      <c r="U17" s="18" t="s">
        <v>73</v>
      </c>
      <c r="V17" s="18"/>
      <c r="W17" s="18"/>
      <c r="X17" s="18"/>
      <c r="Y17" s="18"/>
      <c r="Z17" s="18"/>
      <c r="AA17" s="18"/>
      <c r="AB17" s="20"/>
      <c r="AC17" s="18"/>
      <c r="AD17" s="18"/>
      <c r="AE17" s="18"/>
      <c r="AF17" s="6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4">
        <v>45657.0</v>
      </c>
      <c r="BG17" s="7" t="s">
        <v>73</v>
      </c>
      <c r="BH17" s="7"/>
      <c r="BI17" s="15">
        <f t="shared" si="1"/>
        <v>49</v>
      </c>
      <c r="BJ17" s="15" t="str">
        <f t="shared" si="2"/>
        <v>35-55</v>
      </c>
      <c r="BK17" s="15"/>
      <c r="BL17" s="7"/>
      <c r="BM17" s="7"/>
      <c r="BN17" s="18"/>
    </row>
    <row r="18" ht="15.75" customHeight="1">
      <c r="A18" s="1">
        <v>19.0</v>
      </c>
      <c r="B18" s="2">
        <v>17.0</v>
      </c>
      <c r="C18" s="17">
        <v>44854.4598755787</v>
      </c>
      <c r="D18" s="18" t="s">
        <v>164</v>
      </c>
      <c r="E18" s="19">
        <v>34874.0</v>
      </c>
      <c r="F18" s="18" t="s">
        <v>106</v>
      </c>
      <c r="G18" s="18" t="s">
        <v>165</v>
      </c>
      <c r="H18" s="18">
        <v>1.151225927E9</v>
      </c>
      <c r="I18" s="18" t="s">
        <v>92</v>
      </c>
      <c r="J18" s="18" t="s">
        <v>85</v>
      </c>
      <c r="K18" s="18" t="s">
        <v>166</v>
      </c>
      <c r="L18" s="18">
        <v>85.0</v>
      </c>
      <c r="M18" s="18" t="s">
        <v>167</v>
      </c>
      <c r="N18" s="18" t="s">
        <v>73</v>
      </c>
      <c r="O18" s="18"/>
      <c r="P18" s="18" t="s">
        <v>74</v>
      </c>
      <c r="Q18" s="18"/>
      <c r="R18" s="18" t="s">
        <v>73</v>
      </c>
      <c r="S18" s="18" t="s">
        <v>73</v>
      </c>
      <c r="T18" s="18" t="s">
        <v>73</v>
      </c>
      <c r="U18" s="18" t="s">
        <v>73</v>
      </c>
      <c r="V18" s="18"/>
      <c r="W18" s="18"/>
      <c r="X18" s="18"/>
      <c r="Y18" s="18"/>
      <c r="Z18" s="18"/>
      <c r="AA18" s="18"/>
      <c r="AB18" s="20"/>
      <c r="AC18" s="18"/>
      <c r="AD18" s="18"/>
      <c r="AE18" s="18"/>
      <c r="AF18" s="6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4">
        <v>45657.0</v>
      </c>
      <c r="BG18" s="7" t="s">
        <v>73</v>
      </c>
      <c r="BH18" s="7"/>
      <c r="BI18" s="15">
        <f t="shared" si="1"/>
        <v>29</v>
      </c>
      <c r="BJ18" s="15" t="str">
        <f t="shared" si="2"/>
        <v>18-35</v>
      </c>
      <c r="BK18" s="15"/>
      <c r="BL18" s="7"/>
      <c r="BM18" s="7"/>
      <c r="BN18" s="18"/>
    </row>
    <row r="19" ht="15.75" customHeight="1">
      <c r="A19" s="1">
        <v>20.0</v>
      </c>
      <c r="B19" s="2">
        <v>18.0</v>
      </c>
      <c r="C19" s="17">
        <v>44854.46150868056</v>
      </c>
      <c r="D19" s="18" t="s">
        <v>168</v>
      </c>
      <c r="E19" s="19">
        <v>34737.0</v>
      </c>
      <c r="F19" s="18" t="s">
        <v>67</v>
      </c>
      <c r="G19" s="18" t="s">
        <v>169</v>
      </c>
      <c r="H19" s="18">
        <v>2.30262791E9</v>
      </c>
      <c r="I19" s="18" t="s">
        <v>92</v>
      </c>
      <c r="J19" s="18" t="s">
        <v>85</v>
      </c>
      <c r="K19" s="18" t="s">
        <v>71</v>
      </c>
      <c r="L19" s="18">
        <v>60.0</v>
      </c>
      <c r="M19" s="18" t="s">
        <v>87</v>
      </c>
      <c r="N19" s="18" t="s">
        <v>73</v>
      </c>
      <c r="O19" s="18"/>
      <c r="P19" s="18" t="s">
        <v>74</v>
      </c>
      <c r="Q19" s="18"/>
      <c r="R19" s="18" t="s">
        <v>73</v>
      </c>
      <c r="S19" s="18" t="s">
        <v>73</v>
      </c>
      <c r="T19" s="18" t="s">
        <v>73</v>
      </c>
      <c r="U19" s="18" t="s">
        <v>75</v>
      </c>
      <c r="V19" s="18" t="s">
        <v>170</v>
      </c>
      <c r="W19" s="18" t="s">
        <v>171</v>
      </c>
      <c r="X19" s="18"/>
      <c r="Y19" s="18"/>
      <c r="Z19" s="18"/>
      <c r="AA19" s="18"/>
      <c r="AB19" s="20"/>
      <c r="AC19" s="18"/>
      <c r="AD19" s="18"/>
      <c r="AE19" s="18"/>
      <c r="AF19" s="6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4">
        <v>45657.0</v>
      </c>
      <c r="BG19" s="7" t="s">
        <v>73</v>
      </c>
      <c r="BH19" s="7"/>
      <c r="BI19" s="15">
        <f t="shared" si="1"/>
        <v>29</v>
      </c>
      <c r="BJ19" s="15" t="str">
        <f t="shared" si="2"/>
        <v>18-35</v>
      </c>
      <c r="BK19" s="15"/>
      <c r="BL19" s="7"/>
      <c r="BM19" s="7"/>
      <c r="BN19" s="18"/>
    </row>
    <row r="20" ht="15.75" customHeight="1">
      <c r="A20" s="1">
        <v>21.0</v>
      </c>
      <c r="B20" s="2">
        <v>19.0</v>
      </c>
      <c r="C20" s="17">
        <v>44854.46812481481</v>
      </c>
      <c r="D20" s="18" t="s">
        <v>172</v>
      </c>
      <c r="E20" s="19">
        <v>28419.0</v>
      </c>
      <c r="F20" s="18" t="s">
        <v>67</v>
      </c>
      <c r="G20" s="18" t="s">
        <v>173</v>
      </c>
      <c r="H20" s="18">
        <v>1.157274417E9</v>
      </c>
      <c r="I20" s="18" t="s">
        <v>69</v>
      </c>
      <c r="J20" s="18" t="s">
        <v>146</v>
      </c>
      <c r="K20" s="18" t="s">
        <v>71</v>
      </c>
      <c r="L20" s="18">
        <v>50.0</v>
      </c>
      <c r="M20" s="18">
        <v>1.68</v>
      </c>
      <c r="N20" s="18" t="s">
        <v>73</v>
      </c>
      <c r="O20" s="18"/>
      <c r="P20" s="18" t="s">
        <v>74</v>
      </c>
      <c r="Q20" s="18"/>
      <c r="R20" s="18" t="s">
        <v>73</v>
      </c>
      <c r="S20" s="18" t="s">
        <v>73</v>
      </c>
      <c r="T20" s="18" t="s">
        <v>73</v>
      </c>
      <c r="U20" s="18" t="s">
        <v>73</v>
      </c>
      <c r="V20" s="18"/>
      <c r="W20" s="18"/>
      <c r="X20" s="18"/>
      <c r="Y20" s="18"/>
      <c r="Z20" s="18"/>
      <c r="AA20" s="18"/>
      <c r="AB20" s="20"/>
      <c r="AC20" s="18"/>
      <c r="AD20" s="18"/>
      <c r="AE20" s="18"/>
      <c r="AF20" s="6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4">
        <v>45657.0</v>
      </c>
      <c r="BG20" s="7" t="s">
        <v>73</v>
      </c>
      <c r="BH20" s="7"/>
      <c r="BI20" s="15">
        <f t="shared" si="1"/>
        <v>47</v>
      </c>
      <c r="BJ20" s="15" t="str">
        <f t="shared" si="2"/>
        <v>35-55</v>
      </c>
      <c r="BK20" s="15"/>
      <c r="BL20" s="7"/>
      <c r="BM20" s="7"/>
      <c r="BN20" s="18"/>
    </row>
    <row r="21" ht="15.75" customHeight="1">
      <c r="A21" s="1">
        <v>22.0</v>
      </c>
      <c r="B21" s="2">
        <v>20.0</v>
      </c>
      <c r="C21" s="28">
        <v>44854.470666469904</v>
      </c>
      <c r="D21" s="29" t="s">
        <v>174</v>
      </c>
      <c r="E21" s="30">
        <v>33477.0</v>
      </c>
      <c r="F21" s="29" t="s">
        <v>67</v>
      </c>
      <c r="G21" s="29" t="s">
        <v>175</v>
      </c>
      <c r="H21" s="29">
        <v>3.865616643E9</v>
      </c>
      <c r="I21" s="29" t="s">
        <v>176</v>
      </c>
      <c r="J21" s="29" t="s">
        <v>85</v>
      </c>
      <c r="K21" s="29" t="s">
        <v>71</v>
      </c>
      <c r="L21" s="29">
        <v>54.0</v>
      </c>
      <c r="M21" s="29" t="s">
        <v>177</v>
      </c>
      <c r="N21" s="29" t="s">
        <v>73</v>
      </c>
      <c r="O21" s="29"/>
      <c r="P21" s="29" t="s">
        <v>178</v>
      </c>
      <c r="Q21" s="29"/>
      <c r="R21" s="29" t="s">
        <v>75</v>
      </c>
      <c r="S21" s="29" t="s">
        <v>73</v>
      </c>
      <c r="T21" s="29" t="s">
        <v>73</v>
      </c>
      <c r="U21" s="29" t="s">
        <v>73</v>
      </c>
      <c r="V21" s="29"/>
      <c r="W21" s="29"/>
      <c r="X21" s="29"/>
      <c r="Y21" s="29"/>
      <c r="Z21" s="29"/>
      <c r="AA21" s="29"/>
      <c r="AB21" s="31"/>
      <c r="AC21" s="29"/>
      <c r="AD21" s="29"/>
      <c r="AE21" s="29"/>
      <c r="AF21" s="6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14">
        <v>45657.0</v>
      </c>
      <c r="BG21" s="7" t="s">
        <v>73</v>
      </c>
      <c r="BH21" s="7"/>
      <c r="BI21" s="15">
        <f t="shared" si="1"/>
        <v>33</v>
      </c>
      <c r="BJ21" s="15" t="str">
        <f t="shared" si="2"/>
        <v>18-35</v>
      </c>
      <c r="BK21" s="15"/>
      <c r="BL21" s="7"/>
      <c r="BM21" s="7"/>
      <c r="BN21" s="29"/>
    </row>
    <row r="22" ht="15.75" customHeight="1">
      <c r="A22" s="1">
        <v>23.0</v>
      </c>
      <c r="B22" s="2">
        <v>21.0</v>
      </c>
      <c r="C22" s="32">
        <v>44854.480850196764</v>
      </c>
      <c r="D22" s="33" t="s">
        <v>179</v>
      </c>
      <c r="E22" s="34">
        <v>34545.0</v>
      </c>
      <c r="F22" s="33" t="s">
        <v>67</v>
      </c>
      <c r="G22" s="33" t="s">
        <v>180</v>
      </c>
      <c r="H22" s="33">
        <v>1.136365696E9</v>
      </c>
      <c r="I22" s="33" t="s">
        <v>92</v>
      </c>
      <c r="J22" s="33" t="s">
        <v>85</v>
      </c>
      <c r="K22" s="33" t="s">
        <v>71</v>
      </c>
      <c r="L22" s="33">
        <v>67.0</v>
      </c>
      <c r="M22" s="33" t="s">
        <v>181</v>
      </c>
      <c r="N22" s="33" t="s">
        <v>73</v>
      </c>
      <c r="O22" s="33"/>
      <c r="P22" s="33" t="s">
        <v>182</v>
      </c>
      <c r="Q22" s="33"/>
      <c r="R22" s="33" t="s">
        <v>73</v>
      </c>
      <c r="S22" s="33" t="s">
        <v>73</v>
      </c>
      <c r="T22" s="33" t="s">
        <v>73</v>
      </c>
      <c r="U22" s="33" t="s">
        <v>73</v>
      </c>
      <c r="V22" s="33"/>
      <c r="W22" s="33"/>
      <c r="X22" s="33"/>
      <c r="Y22" s="33"/>
      <c r="Z22" s="33"/>
      <c r="AA22" s="33"/>
      <c r="AB22" s="35"/>
      <c r="AC22" s="33"/>
      <c r="AD22" s="33"/>
      <c r="AE22" s="33"/>
      <c r="AF22" s="6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14">
        <v>45657.0</v>
      </c>
      <c r="BG22" s="7" t="s">
        <v>73</v>
      </c>
      <c r="BH22" s="7"/>
      <c r="BI22" s="15">
        <f t="shared" si="1"/>
        <v>30</v>
      </c>
      <c r="BJ22" s="15" t="str">
        <f t="shared" si="2"/>
        <v>18-35</v>
      </c>
      <c r="BK22" s="15"/>
      <c r="BL22" s="7"/>
      <c r="BM22" s="7"/>
      <c r="BN22" s="33"/>
    </row>
    <row r="23" ht="15.75" customHeight="1">
      <c r="A23" s="1">
        <v>25.0</v>
      </c>
      <c r="B23" s="2">
        <v>25.0</v>
      </c>
      <c r="C23" s="9">
        <v>44854.62505559028</v>
      </c>
      <c r="D23" s="10" t="s">
        <v>183</v>
      </c>
      <c r="E23" s="11">
        <v>35044.0</v>
      </c>
      <c r="F23" s="10" t="s">
        <v>67</v>
      </c>
      <c r="G23" s="10" t="s">
        <v>184</v>
      </c>
      <c r="H23" s="10">
        <v>1.137963922E9</v>
      </c>
      <c r="I23" s="10" t="s">
        <v>176</v>
      </c>
      <c r="J23" s="10" t="s">
        <v>85</v>
      </c>
      <c r="K23" s="10" t="s">
        <v>134</v>
      </c>
      <c r="L23" s="10">
        <v>55.0</v>
      </c>
      <c r="M23" s="10">
        <v>1.55</v>
      </c>
      <c r="N23" s="10" t="s">
        <v>73</v>
      </c>
      <c r="O23" s="10"/>
      <c r="P23" s="10" t="s">
        <v>178</v>
      </c>
      <c r="Q23" s="10"/>
      <c r="R23" s="10" t="s">
        <v>73</v>
      </c>
      <c r="S23" s="10" t="s">
        <v>73</v>
      </c>
      <c r="T23" s="10" t="s">
        <v>73</v>
      </c>
      <c r="U23" s="10" t="s">
        <v>75</v>
      </c>
      <c r="V23" s="10" t="s">
        <v>185</v>
      </c>
      <c r="W23" s="10" t="s">
        <v>186</v>
      </c>
      <c r="X23" s="10"/>
      <c r="Y23" s="10" t="s">
        <v>73</v>
      </c>
      <c r="Z23" s="10"/>
      <c r="AA23" s="10" t="s">
        <v>75</v>
      </c>
      <c r="AB23" s="12" t="s">
        <v>76</v>
      </c>
      <c r="AC23" s="10" t="s">
        <v>77</v>
      </c>
      <c r="AD23" s="10" t="s">
        <v>78</v>
      </c>
      <c r="AE23" s="13" t="s">
        <v>131</v>
      </c>
      <c r="AF23" s="6" t="s">
        <v>187</v>
      </c>
      <c r="AG23" s="10" t="s">
        <v>95</v>
      </c>
      <c r="AH23" s="10" t="s">
        <v>102</v>
      </c>
      <c r="AI23" s="10" t="s">
        <v>188</v>
      </c>
      <c r="AJ23" s="10"/>
      <c r="AK23" s="10"/>
      <c r="AL23" s="10"/>
      <c r="AM23" s="10"/>
      <c r="AN23" s="10" t="s">
        <v>73</v>
      </c>
      <c r="AO23" s="10"/>
      <c r="AP23" s="10"/>
      <c r="AQ23" s="10"/>
      <c r="AR23" s="10"/>
      <c r="AS23" s="10"/>
      <c r="AT23" s="10"/>
      <c r="AU23" s="10"/>
      <c r="AV23" s="10"/>
      <c r="AW23" s="10"/>
      <c r="AX23" s="10" t="s">
        <v>189</v>
      </c>
      <c r="AY23" s="10"/>
      <c r="AZ23" s="10"/>
      <c r="BA23" s="10"/>
      <c r="BB23" s="10"/>
      <c r="BC23" s="10"/>
      <c r="BD23" s="10"/>
      <c r="BE23" s="10"/>
      <c r="BF23" s="14">
        <v>45229.0</v>
      </c>
      <c r="BG23" s="7" t="s">
        <v>75</v>
      </c>
      <c r="BH23" s="7" t="s">
        <v>190</v>
      </c>
      <c r="BI23" s="15">
        <f t="shared" si="1"/>
        <v>28</v>
      </c>
      <c r="BJ23" s="15" t="str">
        <f t="shared" si="2"/>
        <v>18-35</v>
      </c>
      <c r="BK23" s="15" t="s">
        <v>75</v>
      </c>
      <c r="BL23" s="36" t="s">
        <v>191</v>
      </c>
      <c r="BM23" s="7"/>
      <c r="BN23" s="10" t="s">
        <v>187</v>
      </c>
    </row>
    <row r="24" ht="15.75" customHeight="1">
      <c r="A24" s="1">
        <v>26.0</v>
      </c>
      <c r="B24" s="2">
        <v>26.0</v>
      </c>
      <c r="C24" s="17">
        <v>44854.704347314815</v>
      </c>
      <c r="D24" s="18" t="s">
        <v>192</v>
      </c>
      <c r="E24" s="19">
        <v>24780.0</v>
      </c>
      <c r="F24" s="18" t="s">
        <v>67</v>
      </c>
      <c r="G24" s="18" t="s">
        <v>193</v>
      </c>
      <c r="H24" s="18">
        <v>1.565110937E9</v>
      </c>
      <c r="I24" s="18" t="s">
        <v>92</v>
      </c>
      <c r="J24" s="18" t="s">
        <v>109</v>
      </c>
      <c r="K24" s="18" t="s">
        <v>71</v>
      </c>
      <c r="L24" s="18">
        <v>58.0</v>
      </c>
      <c r="M24" s="18" t="s">
        <v>194</v>
      </c>
      <c r="N24" s="18" t="s">
        <v>75</v>
      </c>
      <c r="O24" s="18" t="s">
        <v>195</v>
      </c>
      <c r="P24" s="18" t="s">
        <v>74</v>
      </c>
      <c r="Q24" s="18"/>
      <c r="R24" s="18" t="s">
        <v>73</v>
      </c>
      <c r="S24" s="18" t="s">
        <v>73</v>
      </c>
      <c r="T24" s="18" t="s">
        <v>73</v>
      </c>
      <c r="U24" s="18" t="s">
        <v>75</v>
      </c>
      <c r="V24" s="18" t="s">
        <v>196</v>
      </c>
      <c r="W24" s="18" t="s">
        <v>197</v>
      </c>
      <c r="X24" s="18"/>
      <c r="Y24" s="18"/>
      <c r="Z24" s="18"/>
      <c r="AA24" s="18"/>
      <c r="AB24" s="20"/>
      <c r="AC24" s="18"/>
      <c r="AD24" s="18"/>
      <c r="AE24" s="18"/>
      <c r="AF24" s="6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4">
        <v>45657.0</v>
      </c>
      <c r="BG24" s="7" t="s">
        <v>73</v>
      </c>
      <c r="BH24" s="7"/>
      <c r="BI24" s="15">
        <f t="shared" si="1"/>
        <v>57</v>
      </c>
      <c r="BJ24" s="15" t="str">
        <f t="shared" si="2"/>
        <v>&gt;55</v>
      </c>
      <c r="BK24" s="15"/>
      <c r="BL24" s="7"/>
      <c r="BM24" s="7"/>
      <c r="BN24" s="18"/>
    </row>
    <row r="25" ht="15.75" customHeight="1">
      <c r="A25" s="1">
        <v>27.0</v>
      </c>
      <c r="B25" s="2">
        <v>27.0</v>
      </c>
      <c r="C25" s="9">
        <v>44854.75373652778</v>
      </c>
      <c r="D25" s="10" t="s">
        <v>198</v>
      </c>
      <c r="E25" s="11">
        <v>17646.0</v>
      </c>
      <c r="F25" s="10" t="s">
        <v>67</v>
      </c>
      <c r="G25" s="10" t="s">
        <v>199</v>
      </c>
      <c r="H25" s="10">
        <v>1.134911661E9</v>
      </c>
      <c r="I25" s="10" t="s">
        <v>200</v>
      </c>
      <c r="J25" s="10" t="s">
        <v>146</v>
      </c>
      <c r="K25" s="10" t="s">
        <v>71</v>
      </c>
      <c r="L25" s="10">
        <v>52.0</v>
      </c>
      <c r="M25" s="10" t="s">
        <v>194</v>
      </c>
      <c r="N25" s="10" t="s">
        <v>75</v>
      </c>
      <c r="O25" s="10" t="s">
        <v>201</v>
      </c>
      <c r="P25" s="10" t="s">
        <v>74</v>
      </c>
      <c r="Q25" s="10"/>
      <c r="R25" s="10" t="s">
        <v>73</v>
      </c>
      <c r="S25" s="10" t="s">
        <v>73</v>
      </c>
      <c r="T25" s="10" t="s">
        <v>73</v>
      </c>
      <c r="U25" s="10" t="s">
        <v>75</v>
      </c>
      <c r="V25" s="10" t="s">
        <v>202</v>
      </c>
      <c r="W25" s="10" t="s">
        <v>203</v>
      </c>
      <c r="X25" s="10"/>
      <c r="Y25" s="10" t="s">
        <v>75</v>
      </c>
      <c r="Z25" s="10" t="s">
        <v>204</v>
      </c>
      <c r="AA25" s="10" t="s">
        <v>73</v>
      </c>
      <c r="AB25" s="12"/>
      <c r="AC25" s="10" t="s">
        <v>95</v>
      </c>
      <c r="AD25" s="10" t="s">
        <v>78</v>
      </c>
      <c r="AE25" s="13" t="s">
        <v>205</v>
      </c>
      <c r="AF25" s="6" t="s">
        <v>151</v>
      </c>
      <c r="AG25" s="10" t="s">
        <v>82</v>
      </c>
      <c r="AH25" s="10" t="s">
        <v>77</v>
      </c>
      <c r="AI25" s="21" t="s">
        <v>206</v>
      </c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4">
        <v>44992.0</v>
      </c>
      <c r="BG25" s="7" t="s">
        <v>75</v>
      </c>
      <c r="BH25" s="7" t="s">
        <v>104</v>
      </c>
      <c r="BI25" s="15">
        <f t="shared" si="1"/>
        <v>75</v>
      </c>
      <c r="BJ25" s="15" t="str">
        <f t="shared" si="2"/>
        <v>&gt;55</v>
      </c>
      <c r="BK25" s="15" t="s">
        <v>75</v>
      </c>
      <c r="BL25" s="15" t="s">
        <v>75</v>
      </c>
      <c r="BM25" s="16">
        <v>45596.0</v>
      </c>
      <c r="BN25" s="15" t="s">
        <v>75</v>
      </c>
    </row>
    <row r="26" ht="15.75" customHeight="1">
      <c r="A26" s="1">
        <v>28.0</v>
      </c>
      <c r="B26" s="2">
        <v>28.0</v>
      </c>
      <c r="C26" s="37">
        <v>44854.776550462964</v>
      </c>
      <c r="D26" s="38" t="s">
        <v>207</v>
      </c>
      <c r="E26" s="39">
        <v>27492.0</v>
      </c>
      <c r="F26" s="38" t="s">
        <v>67</v>
      </c>
      <c r="G26" s="38" t="s">
        <v>208</v>
      </c>
      <c r="H26" s="38">
        <v>1.143995634E9</v>
      </c>
      <c r="I26" s="38" t="s">
        <v>92</v>
      </c>
      <c r="J26" s="38" t="s">
        <v>85</v>
      </c>
      <c r="K26" s="38" t="s">
        <v>86</v>
      </c>
      <c r="L26" s="38">
        <v>51.0</v>
      </c>
      <c r="M26" s="38" t="s">
        <v>123</v>
      </c>
      <c r="N26" s="38" t="s">
        <v>75</v>
      </c>
      <c r="O26" s="38" t="s">
        <v>209</v>
      </c>
      <c r="P26" s="38" t="s">
        <v>210</v>
      </c>
      <c r="Q26" s="38" t="s">
        <v>211</v>
      </c>
      <c r="R26" s="38" t="s">
        <v>73</v>
      </c>
      <c r="S26" s="38" t="s">
        <v>73</v>
      </c>
      <c r="T26" s="38" t="s">
        <v>73</v>
      </c>
      <c r="U26" s="38" t="s">
        <v>73</v>
      </c>
      <c r="V26" s="38"/>
      <c r="W26" s="38"/>
      <c r="X26" s="38"/>
      <c r="Y26" s="38"/>
      <c r="Z26" s="38"/>
      <c r="AA26" s="38"/>
      <c r="AB26" s="40"/>
      <c r="AC26" s="38"/>
      <c r="AD26" s="38"/>
      <c r="AE26" s="38"/>
      <c r="AF26" s="6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14">
        <v>45657.0</v>
      </c>
      <c r="BG26" s="7" t="s">
        <v>73</v>
      </c>
      <c r="BH26" s="7"/>
      <c r="BI26" s="15">
        <f t="shared" si="1"/>
        <v>49</v>
      </c>
      <c r="BJ26" s="15" t="str">
        <f t="shared" si="2"/>
        <v>35-55</v>
      </c>
      <c r="BK26" s="15"/>
      <c r="BL26" s="7"/>
      <c r="BM26" s="7"/>
      <c r="BN26" s="38"/>
    </row>
    <row r="27" ht="15.75" customHeight="1">
      <c r="A27" s="1">
        <v>30.0</v>
      </c>
      <c r="B27" s="2">
        <v>29.0</v>
      </c>
      <c r="C27" s="9">
        <v>44855.41475164352</v>
      </c>
      <c r="D27" s="10" t="s">
        <v>212</v>
      </c>
      <c r="E27" s="11">
        <v>28560.0</v>
      </c>
      <c r="F27" s="10" t="s">
        <v>67</v>
      </c>
      <c r="G27" s="41" t="s">
        <v>213</v>
      </c>
      <c r="H27" s="10">
        <v>1.131816391E9</v>
      </c>
      <c r="I27" s="10" t="s">
        <v>92</v>
      </c>
      <c r="J27" s="10" t="s">
        <v>85</v>
      </c>
      <c r="K27" s="10" t="s">
        <v>134</v>
      </c>
      <c r="L27" s="10">
        <v>49.0</v>
      </c>
      <c r="M27" s="10" t="s">
        <v>147</v>
      </c>
      <c r="N27" s="10" t="s">
        <v>73</v>
      </c>
      <c r="O27" s="10"/>
      <c r="P27" s="10" t="s">
        <v>74</v>
      </c>
      <c r="Q27" s="10"/>
      <c r="R27" s="10" t="s">
        <v>73</v>
      </c>
      <c r="S27" s="10" t="s">
        <v>73</v>
      </c>
      <c r="T27" s="10" t="s">
        <v>73</v>
      </c>
      <c r="U27" s="10" t="s">
        <v>73</v>
      </c>
      <c r="V27" s="10"/>
      <c r="W27" s="10"/>
      <c r="X27" s="10"/>
      <c r="Y27" s="10" t="s">
        <v>73</v>
      </c>
      <c r="Z27" s="10"/>
      <c r="AA27" s="10" t="s">
        <v>75</v>
      </c>
      <c r="AB27" s="12" t="s">
        <v>112</v>
      </c>
      <c r="AC27" s="10" t="s">
        <v>82</v>
      </c>
      <c r="AD27" s="10" t="s">
        <v>78</v>
      </c>
      <c r="AE27" s="13" t="s">
        <v>79</v>
      </c>
      <c r="AF27" s="6" t="s">
        <v>80</v>
      </c>
      <c r="AG27" s="10" t="s">
        <v>82</v>
      </c>
      <c r="AH27" s="10" t="s">
        <v>82</v>
      </c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4">
        <v>44867.0</v>
      </c>
      <c r="BG27" s="7" t="s">
        <v>75</v>
      </c>
      <c r="BH27" s="7" t="s">
        <v>1</v>
      </c>
      <c r="BI27" s="15">
        <f t="shared" si="1"/>
        <v>44</v>
      </c>
      <c r="BJ27" s="15" t="str">
        <f t="shared" si="2"/>
        <v>35-55</v>
      </c>
      <c r="BK27" s="15" t="s">
        <v>75</v>
      </c>
      <c r="BL27" s="15" t="s">
        <v>75</v>
      </c>
      <c r="BM27" s="16">
        <v>45596.0</v>
      </c>
      <c r="BN27" s="15" t="s">
        <v>75</v>
      </c>
    </row>
    <row r="28" ht="15.75" customHeight="1">
      <c r="A28" s="1">
        <v>31.0</v>
      </c>
      <c r="B28" s="2">
        <v>30.0</v>
      </c>
      <c r="C28" s="9">
        <v>44855.42084046296</v>
      </c>
      <c r="D28" s="10" t="s">
        <v>214</v>
      </c>
      <c r="E28" s="11">
        <v>28408.0</v>
      </c>
      <c r="F28" s="10" t="s">
        <v>67</v>
      </c>
      <c r="G28" s="10" t="s">
        <v>215</v>
      </c>
      <c r="H28" s="10">
        <v>1.13570372E9</v>
      </c>
      <c r="I28" s="10" t="s">
        <v>92</v>
      </c>
      <c r="J28" s="10" t="s">
        <v>70</v>
      </c>
      <c r="K28" s="10" t="s">
        <v>86</v>
      </c>
      <c r="L28" s="10">
        <v>54.0</v>
      </c>
      <c r="M28" s="10" t="s">
        <v>216</v>
      </c>
      <c r="N28" s="10" t="s">
        <v>73</v>
      </c>
      <c r="O28" s="10"/>
      <c r="P28" s="10" t="s">
        <v>74</v>
      </c>
      <c r="Q28" s="10"/>
      <c r="R28" s="10" t="s">
        <v>73</v>
      </c>
      <c r="S28" s="10" t="s">
        <v>73</v>
      </c>
      <c r="T28" s="10" t="s">
        <v>73</v>
      </c>
      <c r="U28" s="10" t="s">
        <v>75</v>
      </c>
      <c r="V28" s="10" t="s">
        <v>217</v>
      </c>
      <c r="W28" s="10" t="s">
        <v>218</v>
      </c>
      <c r="X28" s="10"/>
      <c r="Y28" s="10" t="s">
        <v>73</v>
      </c>
      <c r="Z28" s="10"/>
      <c r="AA28" s="10" t="s">
        <v>75</v>
      </c>
      <c r="AB28" s="12" t="s">
        <v>76</v>
      </c>
      <c r="AC28" s="10" t="s">
        <v>77</v>
      </c>
      <c r="AD28" s="10" t="s">
        <v>78</v>
      </c>
      <c r="AE28" s="13" t="s">
        <v>131</v>
      </c>
      <c r="AF28" s="6"/>
      <c r="AG28" s="10" t="s">
        <v>95</v>
      </c>
      <c r="AH28" s="10" t="s">
        <v>82</v>
      </c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4">
        <v>44916.0</v>
      </c>
      <c r="BG28" s="7" t="s">
        <v>75</v>
      </c>
      <c r="BH28" s="7" t="s">
        <v>104</v>
      </c>
      <c r="BI28" s="15">
        <f t="shared" si="1"/>
        <v>45</v>
      </c>
      <c r="BJ28" s="15" t="str">
        <f t="shared" si="2"/>
        <v>35-55</v>
      </c>
      <c r="BK28" s="15" t="s">
        <v>75</v>
      </c>
      <c r="BL28" s="15" t="s">
        <v>75</v>
      </c>
      <c r="BM28" s="16">
        <v>45596.0</v>
      </c>
      <c r="BN28" s="10"/>
    </row>
    <row r="29" ht="15.75" customHeight="1">
      <c r="A29" s="1">
        <v>32.0</v>
      </c>
      <c r="B29" s="2">
        <v>31.0</v>
      </c>
      <c r="C29" s="37">
        <v>44855.45577914352</v>
      </c>
      <c r="D29" s="38" t="s">
        <v>219</v>
      </c>
      <c r="E29" s="39">
        <v>33371.0</v>
      </c>
      <c r="F29" s="38" t="s">
        <v>67</v>
      </c>
      <c r="G29" s="38" t="s">
        <v>220</v>
      </c>
      <c r="H29" s="38">
        <v>1.156626651E9</v>
      </c>
      <c r="I29" s="38" t="s">
        <v>221</v>
      </c>
      <c r="J29" s="38" t="s">
        <v>85</v>
      </c>
      <c r="K29" s="38" t="s">
        <v>71</v>
      </c>
      <c r="L29" s="38">
        <v>60.0</v>
      </c>
      <c r="M29" s="38">
        <v>1.7</v>
      </c>
      <c r="N29" s="38" t="s">
        <v>73</v>
      </c>
      <c r="O29" s="38"/>
      <c r="P29" s="38" t="s">
        <v>222</v>
      </c>
      <c r="Q29" s="38" t="s">
        <v>223</v>
      </c>
      <c r="R29" s="38" t="s">
        <v>73</v>
      </c>
      <c r="S29" s="38" t="s">
        <v>73</v>
      </c>
      <c r="T29" s="38" t="s">
        <v>73</v>
      </c>
      <c r="U29" s="38" t="s">
        <v>75</v>
      </c>
      <c r="V29" s="38" t="s">
        <v>224</v>
      </c>
      <c r="W29" s="38" t="s">
        <v>225</v>
      </c>
      <c r="X29" s="38"/>
      <c r="Y29" s="38"/>
      <c r="Z29" s="38"/>
      <c r="AA29" s="38"/>
      <c r="AB29" s="40"/>
      <c r="AC29" s="38"/>
      <c r="AD29" s="38"/>
      <c r="AE29" s="38"/>
      <c r="AF29" s="6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14">
        <v>45657.0</v>
      </c>
      <c r="BG29" s="7" t="s">
        <v>73</v>
      </c>
      <c r="BH29" s="7"/>
      <c r="BI29" s="15">
        <f t="shared" si="1"/>
        <v>33</v>
      </c>
      <c r="BJ29" s="15" t="str">
        <f t="shared" si="2"/>
        <v>18-35</v>
      </c>
      <c r="BK29" s="15"/>
      <c r="BL29" s="7"/>
      <c r="BM29" s="7"/>
      <c r="BN29" s="38"/>
    </row>
    <row r="30" ht="15.75" customHeight="1">
      <c r="A30" s="1">
        <v>33.0</v>
      </c>
      <c r="B30" s="2">
        <v>32.0</v>
      </c>
      <c r="C30" s="17">
        <v>44855.462310613424</v>
      </c>
      <c r="D30" s="18" t="s">
        <v>226</v>
      </c>
      <c r="E30" s="19">
        <v>34140.0</v>
      </c>
      <c r="F30" s="18" t="s">
        <v>67</v>
      </c>
      <c r="G30" s="18" t="s">
        <v>227</v>
      </c>
      <c r="H30" s="18">
        <v>1.140571068E9</v>
      </c>
      <c r="I30" s="18" t="s">
        <v>92</v>
      </c>
      <c r="J30" s="18" t="s">
        <v>109</v>
      </c>
      <c r="K30" s="18" t="s">
        <v>71</v>
      </c>
      <c r="L30" s="18">
        <v>60.0</v>
      </c>
      <c r="M30" s="18" t="s">
        <v>123</v>
      </c>
      <c r="N30" s="18" t="s">
        <v>73</v>
      </c>
      <c r="O30" s="18"/>
      <c r="P30" s="18" t="s">
        <v>74</v>
      </c>
      <c r="Q30" s="18"/>
      <c r="R30" s="18" t="s">
        <v>73</v>
      </c>
      <c r="S30" s="18" t="s">
        <v>75</v>
      </c>
      <c r="T30" s="18" t="s">
        <v>73</v>
      </c>
      <c r="U30" s="18" t="s">
        <v>75</v>
      </c>
      <c r="V30" s="18" t="s">
        <v>228</v>
      </c>
      <c r="W30" s="18" t="s">
        <v>229</v>
      </c>
      <c r="X30" s="18"/>
      <c r="Y30" s="18"/>
      <c r="Z30" s="18"/>
      <c r="AA30" s="18"/>
      <c r="AB30" s="20"/>
      <c r="AC30" s="18"/>
      <c r="AD30" s="18"/>
      <c r="AE30" s="18"/>
      <c r="AF30" s="6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4">
        <v>45657.0</v>
      </c>
      <c r="BG30" s="7" t="s">
        <v>73</v>
      </c>
      <c r="BH30" s="7"/>
      <c r="BI30" s="15">
        <f t="shared" si="1"/>
        <v>31</v>
      </c>
      <c r="BJ30" s="15" t="str">
        <f t="shared" si="2"/>
        <v>18-35</v>
      </c>
      <c r="BK30" s="15"/>
      <c r="BL30" s="7"/>
      <c r="BM30" s="7"/>
      <c r="BN30" s="18"/>
    </row>
    <row r="31" ht="15.75" customHeight="1">
      <c r="A31" s="1">
        <v>34.0</v>
      </c>
      <c r="B31" s="2">
        <v>33.0</v>
      </c>
      <c r="C31" s="9">
        <v>44855.48878722222</v>
      </c>
      <c r="D31" s="10" t="s">
        <v>230</v>
      </c>
      <c r="E31" s="11">
        <v>20075.0</v>
      </c>
      <c r="F31" s="10" t="s">
        <v>67</v>
      </c>
      <c r="G31" s="10" t="s">
        <v>231</v>
      </c>
      <c r="H31" s="10">
        <v>1.131632024E9</v>
      </c>
      <c r="I31" s="10" t="s">
        <v>92</v>
      </c>
      <c r="J31" s="10" t="s">
        <v>109</v>
      </c>
      <c r="K31" s="10" t="s">
        <v>134</v>
      </c>
      <c r="L31" s="10">
        <v>54.0</v>
      </c>
      <c r="M31" s="10" t="s">
        <v>232</v>
      </c>
      <c r="N31" s="10" t="s">
        <v>73</v>
      </c>
      <c r="O31" s="10"/>
      <c r="P31" s="10" t="s">
        <v>74</v>
      </c>
      <c r="Q31" s="10"/>
      <c r="R31" s="10" t="s">
        <v>73</v>
      </c>
      <c r="S31" s="10" t="s">
        <v>73</v>
      </c>
      <c r="T31" s="10" t="s">
        <v>73</v>
      </c>
      <c r="U31" s="10" t="s">
        <v>73</v>
      </c>
      <c r="V31" s="10"/>
      <c r="W31" s="10"/>
      <c r="X31" s="10"/>
      <c r="Y31" s="10" t="s">
        <v>73</v>
      </c>
      <c r="Z31" s="10"/>
      <c r="AA31" s="10" t="s">
        <v>75</v>
      </c>
      <c r="AB31" s="12" t="s">
        <v>112</v>
      </c>
      <c r="AC31" s="10" t="s">
        <v>95</v>
      </c>
      <c r="AD31" s="10" t="s">
        <v>78</v>
      </c>
      <c r="AE31" s="13" t="s">
        <v>138</v>
      </c>
      <c r="AF31" s="6"/>
      <c r="AG31" s="10" t="s">
        <v>95</v>
      </c>
      <c r="AH31" s="10" t="s">
        <v>82</v>
      </c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4">
        <v>44867.0</v>
      </c>
      <c r="BG31" s="7" t="s">
        <v>75</v>
      </c>
      <c r="BH31" s="7" t="s">
        <v>1</v>
      </c>
      <c r="BI31" s="15">
        <f t="shared" si="1"/>
        <v>68</v>
      </c>
      <c r="BJ31" s="15" t="str">
        <f t="shared" si="2"/>
        <v>&gt;55</v>
      </c>
      <c r="BK31" s="15" t="s">
        <v>75</v>
      </c>
      <c r="BL31" s="15" t="s">
        <v>75</v>
      </c>
      <c r="BM31" s="16">
        <v>45596.0</v>
      </c>
      <c r="BN31" s="15" t="s">
        <v>75</v>
      </c>
    </row>
    <row r="32" ht="15.75" customHeight="1">
      <c r="A32" s="1">
        <v>35.0</v>
      </c>
      <c r="B32" s="2">
        <v>34.0</v>
      </c>
      <c r="C32" s="9">
        <v>44855.888751018516</v>
      </c>
      <c r="D32" s="10" t="s">
        <v>233</v>
      </c>
      <c r="E32" s="11">
        <v>16278.0</v>
      </c>
      <c r="F32" s="10" t="s">
        <v>106</v>
      </c>
      <c r="G32" s="10" t="s">
        <v>234</v>
      </c>
      <c r="H32" s="10" t="s">
        <v>235</v>
      </c>
      <c r="I32" s="10" t="s">
        <v>221</v>
      </c>
      <c r="J32" s="10" t="s">
        <v>109</v>
      </c>
      <c r="K32" s="10" t="s">
        <v>86</v>
      </c>
      <c r="L32" s="10">
        <v>69.0</v>
      </c>
      <c r="M32" s="10" t="s">
        <v>147</v>
      </c>
      <c r="N32" s="10" t="s">
        <v>73</v>
      </c>
      <c r="O32" s="10"/>
      <c r="P32" s="10" t="s">
        <v>74</v>
      </c>
      <c r="Q32" s="10"/>
      <c r="R32" s="10" t="s">
        <v>73</v>
      </c>
      <c r="S32" s="10" t="s">
        <v>73</v>
      </c>
      <c r="T32" s="10" t="s">
        <v>73</v>
      </c>
      <c r="U32" s="10" t="s">
        <v>75</v>
      </c>
      <c r="V32" s="10" t="s">
        <v>236</v>
      </c>
      <c r="W32" s="10" t="s">
        <v>237</v>
      </c>
      <c r="X32" s="10"/>
      <c r="Y32" s="10" t="s">
        <v>73</v>
      </c>
      <c r="Z32" s="10"/>
      <c r="AA32" s="10" t="s">
        <v>75</v>
      </c>
      <c r="AB32" s="12" t="s">
        <v>76</v>
      </c>
      <c r="AC32" s="10" t="s">
        <v>95</v>
      </c>
      <c r="AD32" s="10" t="s">
        <v>94</v>
      </c>
      <c r="AE32" s="13" t="s">
        <v>205</v>
      </c>
      <c r="AF32" s="6" t="s">
        <v>151</v>
      </c>
      <c r="AG32" s="10" t="s">
        <v>82</v>
      </c>
      <c r="AH32" s="10" t="s">
        <v>82</v>
      </c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4">
        <v>44867.0</v>
      </c>
      <c r="BG32" s="7" t="s">
        <v>75</v>
      </c>
      <c r="BH32" s="7" t="s">
        <v>1</v>
      </c>
      <c r="BI32" s="15">
        <f t="shared" si="1"/>
        <v>78</v>
      </c>
      <c r="BJ32" s="15" t="str">
        <f t="shared" si="2"/>
        <v>&gt;55</v>
      </c>
      <c r="BK32" s="15" t="s">
        <v>75</v>
      </c>
      <c r="BL32" s="15" t="s">
        <v>75</v>
      </c>
      <c r="BM32" s="16">
        <v>45596.0</v>
      </c>
      <c r="BN32" s="10" t="s">
        <v>151</v>
      </c>
    </row>
    <row r="33" ht="15.75" customHeight="1">
      <c r="A33" s="1">
        <v>36.0</v>
      </c>
      <c r="B33" s="2">
        <v>35.0</v>
      </c>
      <c r="C33" s="9">
        <v>44855.90038283565</v>
      </c>
      <c r="D33" s="10" t="s">
        <v>238</v>
      </c>
      <c r="E33" s="11">
        <v>15500.0</v>
      </c>
      <c r="F33" s="10" t="s">
        <v>67</v>
      </c>
      <c r="G33" s="10" t="s">
        <v>239</v>
      </c>
      <c r="H33" s="10" t="s">
        <v>240</v>
      </c>
      <c r="I33" s="10" t="s">
        <v>69</v>
      </c>
      <c r="J33" s="10" t="s">
        <v>70</v>
      </c>
      <c r="K33" s="10" t="s">
        <v>71</v>
      </c>
      <c r="L33" s="10">
        <v>59.0</v>
      </c>
      <c r="M33" s="10" t="s">
        <v>241</v>
      </c>
      <c r="N33" s="10" t="s">
        <v>73</v>
      </c>
      <c r="O33" s="10"/>
      <c r="P33" s="10" t="s">
        <v>74</v>
      </c>
      <c r="Q33" s="10"/>
      <c r="R33" s="10" t="s">
        <v>73</v>
      </c>
      <c r="S33" s="10" t="s">
        <v>73</v>
      </c>
      <c r="T33" s="10" t="s">
        <v>73</v>
      </c>
      <c r="U33" s="10" t="s">
        <v>75</v>
      </c>
      <c r="V33" s="10" t="s">
        <v>242</v>
      </c>
      <c r="W33" s="10" t="s">
        <v>243</v>
      </c>
      <c r="X33" s="10"/>
      <c r="Y33" s="10" t="s">
        <v>73</v>
      </c>
      <c r="Z33" s="10"/>
      <c r="AA33" s="10" t="s">
        <v>73</v>
      </c>
      <c r="AB33" s="12"/>
      <c r="AC33" s="10" t="s">
        <v>77</v>
      </c>
      <c r="AD33" s="10" t="s">
        <v>94</v>
      </c>
      <c r="AE33" s="13" t="s">
        <v>113</v>
      </c>
      <c r="AF33" s="6" t="s">
        <v>151</v>
      </c>
      <c r="AG33" s="10" t="s">
        <v>81</v>
      </c>
      <c r="AH33" s="10" t="s">
        <v>82</v>
      </c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4">
        <v>44867.0</v>
      </c>
      <c r="BG33" s="7" t="s">
        <v>75</v>
      </c>
      <c r="BH33" s="7" t="s">
        <v>1</v>
      </c>
      <c r="BI33" s="15">
        <f t="shared" si="1"/>
        <v>80</v>
      </c>
      <c r="BJ33" s="15" t="str">
        <f t="shared" si="2"/>
        <v>&gt;55</v>
      </c>
      <c r="BK33" s="15" t="s">
        <v>75</v>
      </c>
      <c r="BL33" s="15" t="s">
        <v>75</v>
      </c>
      <c r="BM33" s="16">
        <v>45596.0</v>
      </c>
      <c r="BN33" s="10" t="s">
        <v>151</v>
      </c>
    </row>
    <row r="34" ht="15.75" customHeight="1">
      <c r="A34" s="1">
        <v>37.0</v>
      </c>
      <c r="B34" s="2">
        <v>36.0</v>
      </c>
      <c r="C34" s="9">
        <v>44855.90506819444</v>
      </c>
      <c r="D34" s="10" t="s">
        <v>244</v>
      </c>
      <c r="E34" s="11">
        <v>22237.0</v>
      </c>
      <c r="F34" s="10" t="s">
        <v>67</v>
      </c>
      <c r="G34" s="10" t="s">
        <v>245</v>
      </c>
      <c r="H34" s="10">
        <v>1.167471717E9</v>
      </c>
      <c r="I34" s="10" t="s">
        <v>92</v>
      </c>
      <c r="J34" s="10" t="s">
        <v>85</v>
      </c>
      <c r="K34" s="10" t="s">
        <v>134</v>
      </c>
      <c r="L34" s="10">
        <v>67.0</v>
      </c>
      <c r="M34" s="10" t="s">
        <v>72</v>
      </c>
      <c r="N34" s="10" t="s">
        <v>73</v>
      </c>
      <c r="O34" s="10"/>
      <c r="P34" s="10" t="s">
        <v>74</v>
      </c>
      <c r="Q34" s="10"/>
      <c r="R34" s="10" t="s">
        <v>73</v>
      </c>
      <c r="S34" s="10" t="s">
        <v>73</v>
      </c>
      <c r="T34" s="10" t="s">
        <v>73</v>
      </c>
      <c r="U34" s="10" t="s">
        <v>75</v>
      </c>
      <c r="V34" s="10" t="s">
        <v>246</v>
      </c>
      <c r="W34" s="10" t="s">
        <v>247</v>
      </c>
      <c r="X34" s="10"/>
      <c r="Y34" s="10" t="s">
        <v>73</v>
      </c>
      <c r="Z34" s="10"/>
      <c r="AA34" s="10" t="s">
        <v>73</v>
      </c>
      <c r="AB34" s="12"/>
      <c r="AC34" s="10" t="s">
        <v>95</v>
      </c>
      <c r="AD34" s="10" t="s">
        <v>78</v>
      </c>
      <c r="AE34" s="13" t="s">
        <v>131</v>
      </c>
      <c r="AF34" s="6" t="s">
        <v>151</v>
      </c>
      <c r="AG34" s="10" t="s">
        <v>81</v>
      </c>
      <c r="AH34" s="10" t="s">
        <v>96</v>
      </c>
      <c r="AI34" s="21" t="s">
        <v>248</v>
      </c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4">
        <v>44867.0</v>
      </c>
      <c r="BG34" s="7" t="s">
        <v>75</v>
      </c>
      <c r="BH34" s="7" t="s">
        <v>1</v>
      </c>
      <c r="BI34" s="15">
        <f t="shared" si="1"/>
        <v>62</v>
      </c>
      <c r="BJ34" s="15" t="str">
        <f t="shared" si="2"/>
        <v>&gt;55</v>
      </c>
      <c r="BK34" s="15" t="s">
        <v>75</v>
      </c>
      <c r="BL34" s="15" t="s">
        <v>75</v>
      </c>
      <c r="BM34" s="16">
        <v>45596.0</v>
      </c>
      <c r="BN34" s="15" t="s">
        <v>75</v>
      </c>
    </row>
    <row r="35" ht="15.75" customHeight="1">
      <c r="A35" s="1">
        <v>38.0</v>
      </c>
      <c r="B35" s="2">
        <v>37.0</v>
      </c>
      <c r="C35" s="9">
        <v>44855.91223291667</v>
      </c>
      <c r="D35" s="10" t="s">
        <v>249</v>
      </c>
      <c r="E35" s="11">
        <v>21830.0</v>
      </c>
      <c r="F35" s="10" t="s">
        <v>106</v>
      </c>
      <c r="G35" s="10" t="s">
        <v>250</v>
      </c>
      <c r="H35" s="10">
        <v>1.167472121E9</v>
      </c>
      <c r="I35" s="10" t="s">
        <v>92</v>
      </c>
      <c r="J35" s="10" t="s">
        <v>85</v>
      </c>
      <c r="K35" s="10" t="s">
        <v>134</v>
      </c>
      <c r="L35" s="10">
        <v>125.0</v>
      </c>
      <c r="M35" s="10" t="s">
        <v>251</v>
      </c>
      <c r="N35" s="10" t="s">
        <v>73</v>
      </c>
      <c r="O35" s="10"/>
      <c r="P35" s="10" t="s">
        <v>74</v>
      </c>
      <c r="Q35" s="10"/>
      <c r="R35" s="10" t="s">
        <v>73</v>
      </c>
      <c r="S35" s="10" t="s">
        <v>73</v>
      </c>
      <c r="T35" s="10" t="s">
        <v>73</v>
      </c>
      <c r="U35" s="10" t="s">
        <v>75</v>
      </c>
      <c r="V35" s="10" t="s">
        <v>252</v>
      </c>
      <c r="W35" s="10" t="s">
        <v>247</v>
      </c>
      <c r="X35" s="10"/>
      <c r="Y35" s="10" t="s">
        <v>73</v>
      </c>
      <c r="Z35" s="10"/>
      <c r="AA35" s="10" t="s">
        <v>73</v>
      </c>
      <c r="AB35" s="12"/>
      <c r="AC35" s="10" t="s">
        <v>95</v>
      </c>
      <c r="AD35" s="10" t="s">
        <v>78</v>
      </c>
      <c r="AE35" s="13" t="s">
        <v>205</v>
      </c>
      <c r="AF35" s="6" t="s">
        <v>187</v>
      </c>
      <c r="AG35" s="10" t="s">
        <v>82</v>
      </c>
      <c r="AH35" s="10" t="s">
        <v>82</v>
      </c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4">
        <v>44867.0</v>
      </c>
      <c r="BG35" s="7" t="s">
        <v>75</v>
      </c>
      <c r="BH35" s="7" t="s">
        <v>1</v>
      </c>
      <c r="BI35" s="15">
        <f t="shared" si="1"/>
        <v>63</v>
      </c>
      <c r="BJ35" s="15" t="str">
        <f t="shared" si="2"/>
        <v>&gt;55</v>
      </c>
      <c r="BK35" s="15" t="s">
        <v>75</v>
      </c>
      <c r="BL35" s="15" t="s">
        <v>75</v>
      </c>
      <c r="BM35" s="16">
        <v>45596.0</v>
      </c>
      <c r="BN35" s="15" t="s">
        <v>75</v>
      </c>
    </row>
    <row r="36" ht="15.75" customHeight="1">
      <c r="A36" s="1">
        <v>39.0</v>
      </c>
      <c r="B36" s="2">
        <v>38.0</v>
      </c>
      <c r="C36" s="9">
        <v>44856.00369366899</v>
      </c>
      <c r="D36" s="10" t="s">
        <v>253</v>
      </c>
      <c r="E36" s="11">
        <v>15221.0</v>
      </c>
      <c r="F36" s="10" t="s">
        <v>106</v>
      </c>
      <c r="G36" s="10" t="s">
        <v>254</v>
      </c>
      <c r="H36" s="10" t="s">
        <v>255</v>
      </c>
      <c r="I36" s="10" t="s">
        <v>221</v>
      </c>
      <c r="J36" s="10" t="s">
        <v>146</v>
      </c>
      <c r="K36" s="10" t="s">
        <v>134</v>
      </c>
      <c r="L36" s="10">
        <v>63.0</v>
      </c>
      <c r="M36" s="10" t="s">
        <v>87</v>
      </c>
      <c r="N36" s="10" t="s">
        <v>73</v>
      </c>
      <c r="O36" s="10"/>
      <c r="P36" s="10" t="s">
        <v>74</v>
      </c>
      <c r="Q36" s="10"/>
      <c r="R36" s="10" t="s">
        <v>73</v>
      </c>
      <c r="S36" s="10" t="s">
        <v>73</v>
      </c>
      <c r="T36" s="10" t="s">
        <v>73</v>
      </c>
      <c r="U36" s="10" t="s">
        <v>75</v>
      </c>
      <c r="V36" s="10" t="s">
        <v>256</v>
      </c>
      <c r="W36" s="10" t="s">
        <v>257</v>
      </c>
      <c r="X36" s="10"/>
      <c r="Y36" s="10" t="s">
        <v>73</v>
      </c>
      <c r="Z36" s="10"/>
      <c r="AA36" s="10" t="s">
        <v>73</v>
      </c>
      <c r="AB36" s="12"/>
      <c r="AC36" s="10" t="s">
        <v>82</v>
      </c>
      <c r="AD36" s="10" t="s">
        <v>78</v>
      </c>
      <c r="AE36" s="13" t="s">
        <v>205</v>
      </c>
      <c r="AF36" s="6" t="s">
        <v>151</v>
      </c>
      <c r="AG36" s="10" t="s">
        <v>82</v>
      </c>
      <c r="AH36" s="10" t="s">
        <v>82</v>
      </c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4">
        <v>44867.0</v>
      </c>
      <c r="BG36" s="7" t="s">
        <v>75</v>
      </c>
      <c r="BH36" s="7" t="s">
        <v>1</v>
      </c>
      <c r="BI36" s="15">
        <f t="shared" si="1"/>
        <v>81</v>
      </c>
      <c r="BJ36" s="15" t="str">
        <f t="shared" si="2"/>
        <v>&gt;55</v>
      </c>
      <c r="BK36" s="15"/>
      <c r="BL36" s="7"/>
      <c r="BM36" s="7"/>
      <c r="BN36" s="10" t="s">
        <v>151</v>
      </c>
    </row>
    <row r="37" ht="15.75" customHeight="1">
      <c r="A37" s="1">
        <v>40.0</v>
      </c>
      <c r="B37" s="2">
        <v>39.0</v>
      </c>
      <c r="C37" s="28">
        <v>44856.03658569444</v>
      </c>
      <c r="D37" s="29" t="s">
        <v>258</v>
      </c>
      <c r="E37" s="30">
        <v>36649.0</v>
      </c>
      <c r="F37" s="29" t="s">
        <v>67</v>
      </c>
      <c r="G37" s="29" t="s">
        <v>259</v>
      </c>
      <c r="H37" s="29">
        <v>1.13174191E9</v>
      </c>
      <c r="I37" s="29" t="s">
        <v>92</v>
      </c>
      <c r="J37" s="29" t="s">
        <v>70</v>
      </c>
      <c r="K37" s="29" t="s">
        <v>71</v>
      </c>
      <c r="L37" s="29">
        <v>60.0</v>
      </c>
      <c r="M37" s="29" t="s">
        <v>260</v>
      </c>
      <c r="N37" s="29" t="s">
        <v>73</v>
      </c>
      <c r="O37" s="29"/>
      <c r="P37" s="29" t="s">
        <v>178</v>
      </c>
      <c r="Q37" s="29"/>
      <c r="R37" s="29" t="s">
        <v>75</v>
      </c>
      <c r="S37" s="29" t="s">
        <v>73</v>
      </c>
      <c r="T37" s="29" t="s">
        <v>73</v>
      </c>
      <c r="U37" s="29" t="s">
        <v>75</v>
      </c>
      <c r="V37" s="29" t="s">
        <v>261</v>
      </c>
      <c r="W37" s="29" t="s">
        <v>262</v>
      </c>
      <c r="X37" s="29"/>
      <c r="Y37" s="29"/>
      <c r="Z37" s="29"/>
      <c r="AA37" s="29"/>
      <c r="AB37" s="31"/>
      <c r="AC37" s="29"/>
      <c r="AD37" s="29"/>
      <c r="AE37" s="29"/>
      <c r="AF37" s="6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14">
        <v>45657.0</v>
      </c>
      <c r="BG37" s="7" t="s">
        <v>73</v>
      </c>
      <c r="BH37" s="7"/>
      <c r="BI37" s="15">
        <f t="shared" si="1"/>
        <v>24</v>
      </c>
      <c r="BJ37" s="15" t="str">
        <f t="shared" si="2"/>
        <v>18-35</v>
      </c>
      <c r="BK37" s="15"/>
      <c r="BL37" s="7"/>
      <c r="BM37" s="7"/>
      <c r="BN37" s="29"/>
    </row>
    <row r="38" ht="15.75" customHeight="1">
      <c r="A38" s="1">
        <v>41.0</v>
      </c>
      <c r="B38" s="2">
        <v>40.0</v>
      </c>
      <c r="C38" s="9">
        <v>44856.875446226855</v>
      </c>
      <c r="D38" s="10" t="s">
        <v>263</v>
      </c>
      <c r="E38" s="11">
        <v>36793.0</v>
      </c>
      <c r="F38" s="10" t="s">
        <v>67</v>
      </c>
      <c r="G38" s="10" t="s">
        <v>264</v>
      </c>
      <c r="H38" s="10">
        <v>1.139002631E9</v>
      </c>
      <c r="I38" s="10" t="s">
        <v>92</v>
      </c>
      <c r="J38" s="10" t="s">
        <v>85</v>
      </c>
      <c r="K38" s="10" t="s">
        <v>86</v>
      </c>
      <c r="L38" s="10">
        <v>53.0</v>
      </c>
      <c r="M38" s="10" t="s">
        <v>265</v>
      </c>
      <c r="N38" s="10" t="s">
        <v>73</v>
      </c>
      <c r="O38" s="10"/>
      <c r="P38" s="10" t="s">
        <v>74</v>
      </c>
      <c r="Q38" s="10"/>
      <c r="R38" s="10" t="s">
        <v>73</v>
      </c>
      <c r="S38" s="10" t="s">
        <v>73</v>
      </c>
      <c r="T38" s="10" t="s">
        <v>73</v>
      </c>
      <c r="U38" s="10" t="s">
        <v>73</v>
      </c>
      <c r="V38" s="10"/>
      <c r="W38" s="10"/>
      <c r="X38" s="10"/>
      <c r="Y38" s="10" t="s">
        <v>73</v>
      </c>
      <c r="Z38" s="10"/>
      <c r="AA38" s="10" t="s">
        <v>75</v>
      </c>
      <c r="AB38" s="12" t="s">
        <v>76</v>
      </c>
      <c r="AC38" s="10" t="s">
        <v>77</v>
      </c>
      <c r="AD38" s="10" t="s">
        <v>94</v>
      </c>
      <c r="AE38" s="13" t="s">
        <v>131</v>
      </c>
      <c r="AF38" s="6"/>
      <c r="AG38" s="10" t="s">
        <v>95</v>
      </c>
      <c r="AH38" s="10" t="s">
        <v>77</v>
      </c>
      <c r="AI38" s="21" t="s">
        <v>266</v>
      </c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4">
        <v>44867.0</v>
      </c>
      <c r="BG38" s="7" t="s">
        <v>75</v>
      </c>
      <c r="BH38" s="7" t="s">
        <v>1</v>
      </c>
      <c r="BI38" s="15">
        <f t="shared" si="1"/>
        <v>22</v>
      </c>
      <c r="BJ38" s="15" t="str">
        <f t="shared" si="2"/>
        <v>18-35</v>
      </c>
      <c r="BK38" s="15" t="s">
        <v>75</v>
      </c>
      <c r="BL38" s="15" t="s">
        <v>75</v>
      </c>
      <c r="BM38" s="16">
        <v>45596.0</v>
      </c>
      <c r="BN38" s="15" t="s">
        <v>75</v>
      </c>
    </row>
    <row r="39" ht="15.75" customHeight="1">
      <c r="A39" s="1">
        <v>42.0</v>
      </c>
      <c r="B39" s="2">
        <v>41.0</v>
      </c>
      <c r="C39" s="9">
        <v>44858.40019497686</v>
      </c>
      <c r="D39" s="10" t="s">
        <v>267</v>
      </c>
      <c r="E39" s="11">
        <v>29901.0</v>
      </c>
      <c r="F39" s="10" t="s">
        <v>106</v>
      </c>
      <c r="G39" s="10" t="s">
        <v>268</v>
      </c>
      <c r="H39" s="10">
        <v>5.492901506127E12</v>
      </c>
      <c r="I39" s="10" t="s">
        <v>92</v>
      </c>
      <c r="J39" s="10" t="s">
        <v>85</v>
      </c>
      <c r="K39" s="10" t="s">
        <v>71</v>
      </c>
      <c r="L39" s="10">
        <v>71.0</v>
      </c>
      <c r="M39" s="10">
        <v>1.73</v>
      </c>
      <c r="N39" s="10" t="s">
        <v>73</v>
      </c>
      <c r="O39" s="10"/>
      <c r="P39" s="10" t="s">
        <v>74</v>
      </c>
      <c r="Q39" s="10"/>
      <c r="R39" s="10" t="s">
        <v>73</v>
      </c>
      <c r="S39" s="10" t="s">
        <v>73</v>
      </c>
      <c r="T39" s="10" t="s">
        <v>73</v>
      </c>
      <c r="U39" s="10" t="s">
        <v>73</v>
      </c>
      <c r="V39" s="10"/>
      <c r="W39" s="10"/>
      <c r="X39" s="10"/>
      <c r="Y39" s="10" t="s">
        <v>73</v>
      </c>
      <c r="Z39" s="10"/>
      <c r="AA39" s="10" t="s">
        <v>73</v>
      </c>
      <c r="AB39" s="12"/>
      <c r="AC39" s="10" t="s">
        <v>82</v>
      </c>
      <c r="AD39" s="10" t="s">
        <v>78</v>
      </c>
      <c r="AE39" s="13" t="s">
        <v>138</v>
      </c>
      <c r="AF39" s="6" t="s">
        <v>151</v>
      </c>
      <c r="AG39" s="10" t="s">
        <v>81</v>
      </c>
      <c r="AH39" s="10" t="s">
        <v>82</v>
      </c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4">
        <v>45657.0</v>
      </c>
      <c r="BG39" s="7" t="s">
        <v>75</v>
      </c>
      <c r="BH39" s="7"/>
      <c r="BI39" s="15">
        <f t="shared" si="1"/>
        <v>43</v>
      </c>
      <c r="BJ39" s="15" t="str">
        <f t="shared" si="2"/>
        <v>35-55</v>
      </c>
      <c r="BK39" s="15" t="s">
        <v>75</v>
      </c>
      <c r="BL39" s="15" t="s">
        <v>75</v>
      </c>
      <c r="BM39" s="16">
        <v>45596.0</v>
      </c>
      <c r="BN39" s="15" t="s">
        <v>75</v>
      </c>
    </row>
    <row r="40" ht="15.75" customHeight="1">
      <c r="A40" s="1">
        <v>43.0</v>
      </c>
      <c r="B40" s="2">
        <v>42.0</v>
      </c>
      <c r="C40" s="17">
        <v>44858.73106196759</v>
      </c>
      <c r="D40" s="18" t="s">
        <v>269</v>
      </c>
      <c r="E40" s="19">
        <v>44858.0</v>
      </c>
      <c r="F40" s="18" t="s">
        <v>67</v>
      </c>
      <c r="G40" s="18" t="s">
        <v>270</v>
      </c>
      <c r="H40" s="18">
        <v>1.554894857E9</v>
      </c>
      <c r="I40" s="18" t="s">
        <v>92</v>
      </c>
      <c r="J40" s="18" t="s">
        <v>85</v>
      </c>
      <c r="K40" s="18" t="s">
        <v>134</v>
      </c>
      <c r="L40" s="18">
        <v>68.0</v>
      </c>
      <c r="M40" s="18" t="s">
        <v>271</v>
      </c>
      <c r="N40" s="18" t="s">
        <v>73</v>
      </c>
      <c r="O40" s="18"/>
      <c r="P40" s="18" t="s">
        <v>74</v>
      </c>
      <c r="Q40" s="18"/>
      <c r="R40" s="18" t="s">
        <v>73</v>
      </c>
      <c r="S40" s="18" t="s">
        <v>73</v>
      </c>
      <c r="T40" s="18" t="s">
        <v>73</v>
      </c>
      <c r="U40" s="18" t="s">
        <v>73</v>
      </c>
      <c r="V40" s="18"/>
      <c r="W40" s="18"/>
      <c r="X40" s="18"/>
      <c r="Y40" s="18"/>
      <c r="Z40" s="18"/>
      <c r="AA40" s="18"/>
      <c r="AB40" s="20"/>
      <c r="AC40" s="18"/>
      <c r="AD40" s="18"/>
      <c r="AE40" s="18"/>
      <c r="AF40" s="6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4">
        <v>45657.0</v>
      </c>
      <c r="BG40" s="7" t="s">
        <v>73</v>
      </c>
      <c r="BH40" s="7"/>
      <c r="BI40" s="15">
        <f t="shared" si="1"/>
        <v>2</v>
      </c>
      <c r="BJ40" s="15" t="str">
        <f t="shared" si="2"/>
        <v>18-35</v>
      </c>
      <c r="BK40" s="15"/>
      <c r="BL40" s="7"/>
      <c r="BM40" s="7"/>
      <c r="BN40" s="18"/>
    </row>
    <row r="41" ht="15.75" customHeight="1">
      <c r="A41" s="1">
        <v>44.0</v>
      </c>
      <c r="B41" s="2">
        <v>43.0</v>
      </c>
      <c r="C41" s="9">
        <v>44859.47521958333</v>
      </c>
      <c r="D41" s="10" t="s">
        <v>272</v>
      </c>
      <c r="E41" s="11">
        <v>35602.0</v>
      </c>
      <c r="F41" s="10" t="s">
        <v>67</v>
      </c>
      <c r="G41" s="10" t="s">
        <v>273</v>
      </c>
      <c r="H41" s="10">
        <v>1.158180192E9</v>
      </c>
      <c r="I41" s="10" t="s">
        <v>92</v>
      </c>
      <c r="J41" s="10" t="s">
        <v>70</v>
      </c>
      <c r="K41" s="10" t="s">
        <v>71</v>
      </c>
      <c r="L41" s="10">
        <v>58.0</v>
      </c>
      <c r="M41" s="10">
        <v>1.67</v>
      </c>
      <c r="N41" s="10" t="s">
        <v>73</v>
      </c>
      <c r="O41" s="10"/>
      <c r="P41" s="10" t="s">
        <v>74</v>
      </c>
      <c r="Q41" s="10"/>
      <c r="R41" s="10" t="s">
        <v>73</v>
      </c>
      <c r="S41" s="10" t="s">
        <v>73</v>
      </c>
      <c r="T41" s="10" t="s">
        <v>73</v>
      </c>
      <c r="U41" s="10" t="s">
        <v>73</v>
      </c>
      <c r="V41" s="10"/>
      <c r="W41" s="10"/>
      <c r="X41" s="10"/>
      <c r="Y41" s="10" t="s">
        <v>73</v>
      </c>
      <c r="Z41" s="10"/>
      <c r="AA41" s="10" t="s">
        <v>75</v>
      </c>
      <c r="AB41" s="12" t="s">
        <v>76</v>
      </c>
      <c r="AC41" s="10" t="s">
        <v>82</v>
      </c>
      <c r="AD41" s="10" t="s">
        <v>94</v>
      </c>
      <c r="AE41" s="13" t="s">
        <v>79</v>
      </c>
      <c r="AF41" s="6"/>
      <c r="AG41" s="10" t="s">
        <v>95</v>
      </c>
      <c r="AH41" s="10" t="s">
        <v>77</v>
      </c>
      <c r="AI41" s="21" t="s">
        <v>274</v>
      </c>
      <c r="AJ41" s="10"/>
      <c r="AK41" s="10"/>
      <c r="AL41" s="10"/>
      <c r="AM41" s="10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14">
        <v>44916.0</v>
      </c>
      <c r="BG41" s="7" t="s">
        <v>75</v>
      </c>
      <c r="BH41" s="7" t="s">
        <v>104</v>
      </c>
      <c r="BI41" s="15">
        <f t="shared" si="1"/>
        <v>25</v>
      </c>
      <c r="BJ41" s="15" t="str">
        <f t="shared" si="2"/>
        <v>18-35</v>
      </c>
      <c r="BK41" s="15" t="s">
        <v>75</v>
      </c>
      <c r="BL41" s="15" t="s">
        <v>75</v>
      </c>
      <c r="BM41" s="16">
        <v>45596.0</v>
      </c>
      <c r="BN41" s="15" t="s">
        <v>75</v>
      </c>
    </row>
    <row r="42" ht="15.75" customHeight="1">
      <c r="A42" s="1">
        <v>46.0</v>
      </c>
      <c r="B42" s="2">
        <v>45.0</v>
      </c>
      <c r="C42" s="9">
        <v>44860.711280682866</v>
      </c>
      <c r="D42" s="10" t="s">
        <v>275</v>
      </c>
      <c r="E42" s="11">
        <v>35221.0</v>
      </c>
      <c r="F42" s="10" t="s">
        <v>67</v>
      </c>
      <c r="G42" s="10" t="s">
        <v>276</v>
      </c>
      <c r="H42" s="23" t="s">
        <v>277</v>
      </c>
      <c r="I42" s="10" t="s">
        <v>92</v>
      </c>
      <c r="J42" s="10" t="s">
        <v>85</v>
      </c>
      <c r="K42" s="10" t="s">
        <v>134</v>
      </c>
      <c r="L42" s="10">
        <v>72.0</v>
      </c>
      <c r="M42" s="10">
        <v>1.67</v>
      </c>
      <c r="N42" s="10" t="s">
        <v>73</v>
      </c>
      <c r="O42" s="10"/>
      <c r="P42" s="10" t="s">
        <v>74</v>
      </c>
      <c r="Q42" s="10"/>
      <c r="R42" s="10" t="s">
        <v>73</v>
      </c>
      <c r="S42" s="10" t="s">
        <v>73</v>
      </c>
      <c r="T42" s="10" t="s">
        <v>73</v>
      </c>
      <c r="U42" s="10" t="s">
        <v>73</v>
      </c>
      <c r="V42" s="10"/>
      <c r="W42" s="10"/>
      <c r="X42" s="10"/>
      <c r="Y42" s="10" t="s">
        <v>73</v>
      </c>
      <c r="Z42" s="10"/>
      <c r="AA42" s="10" t="s">
        <v>75</v>
      </c>
      <c r="AB42" s="12" t="s">
        <v>76</v>
      </c>
      <c r="AC42" s="10" t="s">
        <v>77</v>
      </c>
      <c r="AD42" s="10" t="s">
        <v>78</v>
      </c>
      <c r="AE42" s="13" t="s">
        <v>79</v>
      </c>
      <c r="AF42" s="6"/>
      <c r="AG42" s="10" t="s">
        <v>95</v>
      </c>
      <c r="AH42" s="10" t="s">
        <v>77</v>
      </c>
      <c r="AI42" s="21" t="s">
        <v>266</v>
      </c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4">
        <v>44867.0</v>
      </c>
      <c r="BG42" s="7" t="s">
        <v>75</v>
      </c>
      <c r="BH42" s="7" t="s">
        <v>1</v>
      </c>
      <c r="BI42" s="15">
        <f t="shared" si="1"/>
        <v>26</v>
      </c>
      <c r="BJ42" s="15" t="str">
        <f t="shared" si="2"/>
        <v>18-35</v>
      </c>
      <c r="BK42" s="15" t="s">
        <v>75</v>
      </c>
      <c r="BL42" s="15" t="s">
        <v>75</v>
      </c>
      <c r="BM42" s="16">
        <v>45596.0</v>
      </c>
      <c r="BN42" s="10"/>
    </row>
    <row r="43" ht="15.75" customHeight="1">
      <c r="A43" s="1">
        <v>47.0</v>
      </c>
      <c r="B43" s="2">
        <v>46.0</v>
      </c>
      <c r="C43" s="17">
        <v>44860.88715165509</v>
      </c>
      <c r="D43" s="18" t="s">
        <v>278</v>
      </c>
      <c r="E43" s="19">
        <v>24513.0</v>
      </c>
      <c r="F43" s="18" t="s">
        <v>106</v>
      </c>
      <c r="G43" s="18" t="s">
        <v>279</v>
      </c>
      <c r="H43" s="18">
        <v>1.133701248E9</v>
      </c>
      <c r="I43" s="18" t="s">
        <v>280</v>
      </c>
      <c r="J43" s="18" t="s">
        <v>70</v>
      </c>
      <c r="K43" s="18" t="s">
        <v>86</v>
      </c>
      <c r="L43" s="18">
        <v>86.0</v>
      </c>
      <c r="M43" s="18" t="s">
        <v>130</v>
      </c>
      <c r="N43" s="18" t="s">
        <v>75</v>
      </c>
      <c r="O43" s="18" t="s">
        <v>281</v>
      </c>
      <c r="P43" s="18" t="s">
        <v>74</v>
      </c>
      <c r="Q43" s="18"/>
      <c r="R43" s="18" t="s">
        <v>73</v>
      </c>
      <c r="S43" s="18" t="s">
        <v>73</v>
      </c>
      <c r="T43" s="18" t="s">
        <v>73</v>
      </c>
      <c r="U43" s="18" t="s">
        <v>75</v>
      </c>
      <c r="V43" s="18" t="s">
        <v>282</v>
      </c>
      <c r="W43" s="18" t="s">
        <v>283</v>
      </c>
      <c r="X43" s="18"/>
      <c r="Y43" s="18"/>
      <c r="Z43" s="18"/>
      <c r="AA43" s="18"/>
      <c r="AB43" s="20"/>
      <c r="AC43" s="18"/>
      <c r="AD43" s="18"/>
      <c r="AE43" s="18"/>
      <c r="AF43" s="6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4">
        <v>45657.0</v>
      </c>
      <c r="BG43" s="7" t="s">
        <v>73</v>
      </c>
      <c r="BH43" s="7"/>
      <c r="BI43" s="15">
        <f t="shared" si="1"/>
        <v>57</v>
      </c>
      <c r="BJ43" s="15" t="str">
        <f t="shared" si="2"/>
        <v>&gt;55</v>
      </c>
      <c r="BK43" s="15"/>
      <c r="BL43" s="7"/>
      <c r="BM43" s="7"/>
      <c r="BN43" s="18"/>
    </row>
    <row r="44" ht="15.75" customHeight="1">
      <c r="A44" s="1">
        <v>48.0</v>
      </c>
      <c r="B44" s="2">
        <v>48.0</v>
      </c>
      <c r="C44" s="9">
        <v>44862.81781118056</v>
      </c>
      <c r="D44" s="10" t="s">
        <v>284</v>
      </c>
      <c r="E44" s="11">
        <v>32945.0</v>
      </c>
      <c r="F44" s="10" t="s">
        <v>67</v>
      </c>
      <c r="G44" s="10" t="s">
        <v>285</v>
      </c>
      <c r="H44" s="10">
        <v>1.131430432E9</v>
      </c>
      <c r="I44" s="10" t="s">
        <v>286</v>
      </c>
      <c r="J44" s="10" t="s">
        <v>85</v>
      </c>
      <c r="K44" s="10" t="s">
        <v>134</v>
      </c>
      <c r="L44" s="10">
        <v>66.0</v>
      </c>
      <c r="M44" s="10" t="s">
        <v>181</v>
      </c>
      <c r="N44" s="10" t="s">
        <v>75</v>
      </c>
      <c r="O44" s="10" t="s">
        <v>287</v>
      </c>
      <c r="P44" s="10" t="s">
        <v>74</v>
      </c>
      <c r="Q44" s="10"/>
      <c r="R44" s="10" t="s">
        <v>73</v>
      </c>
      <c r="S44" s="10" t="s">
        <v>73</v>
      </c>
      <c r="T44" s="10" t="s">
        <v>73</v>
      </c>
      <c r="U44" s="10" t="s">
        <v>75</v>
      </c>
      <c r="V44" s="10" t="s">
        <v>288</v>
      </c>
      <c r="W44" s="10" t="s">
        <v>289</v>
      </c>
      <c r="X44" s="10"/>
      <c r="Y44" s="10" t="s">
        <v>75</v>
      </c>
      <c r="Z44" s="24">
        <v>45566.0</v>
      </c>
      <c r="AA44" s="10" t="s">
        <v>75</v>
      </c>
      <c r="AB44" s="12" t="s">
        <v>112</v>
      </c>
      <c r="AC44" s="10" t="s">
        <v>77</v>
      </c>
      <c r="AD44" s="10" t="s">
        <v>78</v>
      </c>
      <c r="AE44" s="13" t="s">
        <v>138</v>
      </c>
      <c r="AF44" s="6"/>
      <c r="AG44" s="10" t="s">
        <v>81</v>
      </c>
      <c r="AH44" s="10"/>
      <c r="AI44" s="21" t="s">
        <v>290</v>
      </c>
      <c r="AJ44" s="10"/>
      <c r="AK44" s="10"/>
      <c r="AL44" s="10"/>
      <c r="AM44" s="10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14">
        <v>44895.0</v>
      </c>
      <c r="BG44" s="7" t="s">
        <v>75</v>
      </c>
      <c r="BH44" s="7" t="s">
        <v>1</v>
      </c>
      <c r="BI44" s="15">
        <f t="shared" si="1"/>
        <v>32</v>
      </c>
      <c r="BJ44" s="15" t="str">
        <f t="shared" si="2"/>
        <v>18-35</v>
      </c>
      <c r="BK44" s="15" t="s">
        <v>75</v>
      </c>
      <c r="BL44" s="15" t="s">
        <v>75</v>
      </c>
      <c r="BM44" s="16">
        <v>45596.0</v>
      </c>
      <c r="BN44" s="15" t="s">
        <v>75</v>
      </c>
    </row>
    <row r="45" ht="15.75" customHeight="1">
      <c r="A45" s="1">
        <v>49.0</v>
      </c>
      <c r="B45" s="2">
        <v>49.0</v>
      </c>
      <c r="C45" s="17">
        <v>44862.84473840278</v>
      </c>
      <c r="D45" s="18" t="s">
        <v>291</v>
      </c>
      <c r="E45" s="19">
        <v>33463.0</v>
      </c>
      <c r="F45" s="18" t="s">
        <v>67</v>
      </c>
      <c r="G45" s="18" t="s">
        <v>292</v>
      </c>
      <c r="H45" s="18">
        <v>1.154118281E9</v>
      </c>
      <c r="I45" s="18" t="s">
        <v>92</v>
      </c>
      <c r="J45" s="18" t="s">
        <v>85</v>
      </c>
      <c r="K45" s="18" t="s">
        <v>86</v>
      </c>
      <c r="L45" s="18">
        <v>50.0</v>
      </c>
      <c r="M45" s="18" t="s">
        <v>72</v>
      </c>
      <c r="N45" s="18" t="s">
        <v>73</v>
      </c>
      <c r="O45" s="18"/>
      <c r="P45" s="18" t="s">
        <v>74</v>
      </c>
      <c r="Q45" s="18"/>
      <c r="R45" s="18" t="s">
        <v>75</v>
      </c>
      <c r="S45" s="18" t="s">
        <v>73</v>
      </c>
      <c r="T45" s="18" t="s">
        <v>73</v>
      </c>
      <c r="U45" s="18" t="s">
        <v>73</v>
      </c>
      <c r="V45" s="18"/>
      <c r="W45" s="18"/>
      <c r="X45" s="18"/>
      <c r="Y45" s="18"/>
      <c r="Z45" s="18"/>
      <c r="AA45" s="18"/>
      <c r="AB45" s="20"/>
      <c r="AC45" s="18"/>
      <c r="AD45" s="18"/>
      <c r="AE45" s="18"/>
      <c r="AF45" s="6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4">
        <v>45657.0</v>
      </c>
      <c r="BG45" s="7" t="s">
        <v>73</v>
      </c>
      <c r="BH45" s="7"/>
      <c r="BI45" s="15">
        <f t="shared" si="1"/>
        <v>33</v>
      </c>
      <c r="BJ45" s="15" t="str">
        <f t="shared" si="2"/>
        <v>18-35</v>
      </c>
      <c r="BK45" s="15"/>
      <c r="BL45" s="7"/>
      <c r="BM45" s="7"/>
      <c r="BN45" s="18"/>
    </row>
    <row r="46" ht="15.75" customHeight="1">
      <c r="A46" s="1">
        <v>51.0</v>
      </c>
      <c r="B46" s="2">
        <v>50.0</v>
      </c>
      <c r="C46" s="37">
        <v>44863.71001351852</v>
      </c>
      <c r="D46" s="38" t="s">
        <v>293</v>
      </c>
      <c r="E46" s="39">
        <v>33286.0</v>
      </c>
      <c r="F46" s="38" t="s">
        <v>67</v>
      </c>
      <c r="G46" s="38" t="s">
        <v>294</v>
      </c>
      <c r="H46" s="38">
        <v>1.153163357E9</v>
      </c>
      <c r="I46" s="38" t="s">
        <v>92</v>
      </c>
      <c r="J46" s="38" t="s">
        <v>85</v>
      </c>
      <c r="K46" s="38" t="s">
        <v>86</v>
      </c>
      <c r="L46" s="38">
        <v>55.0</v>
      </c>
      <c r="M46" s="38" t="s">
        <v>295</v>
      </c>
      <c r="N46" s="38" t="s">
        <v>73</v>
      </c>
      <c r="O46" s="38"/>
      <c r="P46" s="38" t="s">
        <v>296</v>
      </c>
      <c r="Q46" s="38"/>
      <c r="R46" s="38" t="s">
        <v>73</v>
      </c>
      <c r="S46" s="38" t="s">
        <v>73</v>
      </c>
      <c r="T46" s="38" t="s">
        <v>73</v>
      </c>
      <c r="U46" s="38" t="s">
        <v>73</v>
      </c>
      <c r="V46" s="38"/>
      <c r="W46" s="38"/>
      <c r="X46" s="38"/>
      <c r="Y46" s="38"/>
      <c r="Z46" s="38"/>
      <c r="AA46" s="38"/>
      <c r="AB46" s="40"/>
      <c r="AC46" s="38"/>
      <c r="AD46" s="38"/>
      <c r="AE46" s="38"/>
      <c r="AF46" s="6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14">
        <v>45657.0</v>
      </c>
      <c r="BG46" s="7" t="s">
        <v>73</v>
      </c>
      <c r="BH46" s="7"/>
      <c r="BI46" s="15">
        <f t="shared" si="1"/>
        <v>33</v>
      </c>
      <c r="BJ46" s="15" t="str">
        <f t="shared" si="2"/>
        <v>18-35</v>
      </c>
      <c r="BK46" s="15"/>
      <c r="BL46" s="7"/>
      <c r="BM46" s="7"/>
      <c r="BN46" s="38"/>
    </row>
    <row r="47" ht="15.75" customHeight="1">
      <c r="A47" s="1">
        <v>52.0</v>
      </c>
      <c r="B47" s="2">
        <v>51.0</v>
      </c>
      <c r="C47" s="37">
        <v>44863.89086917824</v>
      </c>
      <c r="D47" s="38" t="s">
        <v>297</v>
      </c>
      <c r="E47" s="39">
        <v>33724.0</v>
      </c>
      <c r="F47" s="38" t="s">
        <v>67</v>
      </c>
      <c r="G47" s="38" t="s">
        <v>298</v>
      </c>
      <c r="H47" s="38">
        <v>1.15316339E8</v>
      </c>
      <c r="I47" s="38" t="s">
        <v>92</v>
      </c>
      <c r="J47" s="38" t="s">
        <v>109</v>
      </c>
      <c r="K47" s="38" t="s">
        <v>71</v>
      </c>
      <c r="L47" s="38">
        <v>59.0</v>
      </c>
      <c r="M47" s="38">
        <v>1.66</v>
      </c>
      <c r="N47" s="38" t="s">
        <v>73</v>
      </c>
      <c r="O47" s="38"/>
      <c r="P47" s="38" t="s">
        <v>210</v>
      </c>
      <c r="Q47" s="38" t="s">
        <v>299</v>
      </c>
      <c r="R47" s="38" t="s">
        <v>73</v>
      </c>
      <c r="S47" s="38" t="s">
        <v>73</v>
      </c>
      <c r="T47" s="38" t="s">
        <v>73</v>
      </c>
      <c r="U47" s="38" t="s">
        <v>75</v>
      </c>
      <c r="V47" s="38" t="s">
        <v>202</v>
      </c>
      <c r="W47" s="38" t="s">
        <v>300</v>
      </c>
      <c r="X47" s="38"/>
      <c r="Y47" s="38"/>
      <c r="Z47" s="38"/>
      <c r="AA47" s="38"/>
      <c r="AB47" s="40"/>
      <c r="AC47" s="38"/>
      <c r="AD47" s="38"/>
      <c r="AE47" s="38"/>
      <c r="AF47" s="6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14">
        <v>45657.0</v>
      </c>
      <c r="BG47" s="7" t="s">
        <v>73</v>
      </c>
      <c r="BH47" s="7"/>
      <c r="BI47" s="15">
        <f t="shared" si="1"/>
        <v>32</v>
      </c>
      <c r="BJ47" s="15" t="str">
        <f t="shared" si="2"/>
        <v>18-35</v>
      </c>
      <c r="BK47" s="15"/>
      <c r="BL47" s="7"/>
      <c r="BM47" s="7"/>
      <c r="BN47" s="38"/>
    </row>
    <row r="48" ht="15.75" customHeight="1">
      <c r="A48" s="1">
        <v>53.0</v>
      </c>
      <c r="B48" s="2">
        <v>52.0</v>
      </c>
      <c r="C48" s="37">
        <v>44863.89312763889</v>
      </c>
      <c r="D48" s="38" t="s">
        <v>301</v>
      </c>
      <c r="E48" s="39">
        <v>31731.0</v>
      </c>
      <c r="F48" s="38" t="s">
        <v>106</v>
      </c>
      <c r="G48" s="38" t="s">
        <v>302</v>
      </c>
      <c r="H48" s="38">
        <v>1.167144659E9</v>
      </c>
      <c r="I48" s="38" t="s">
        <v>92</v>
      </c>
      <c r="J48" s="38" t="s">
        <v>109</v>
      </c>
      <c r="K48" s="38" t="s">
        <v>86</v>
      </c>
      <c r="L48" s="38">
        <v>79.0</v>
      </c>
      <c r="M48" s="38">
        <v>1.7</v>
      </c>
      <c r="N48" s="38" t="s">
        <v>73</v>
      </c>
      <c r="O48" s="38"/>
      <c r="P48" s="38" t="s">
        <v>210</v>
      </c>
      <c r="Q48" s="38" t="s">
        <v>303</v>
      </c>
      <c r="R48" s="38" t="s">
        <v>73</v>
      </c>
      <c r="S48" s="38" t="s">
        <v>73</v>
      </c>
      <c r="T48" s="38" t="s">
        <v>73</v>
      </c>
      <c r="U48" s="38" t="s">
        <v>73</v>
      </c>
      <c r="V48" s="38"/>
      <c r="W48" s="38"/>
      <c r="X48" s="38"/>
      <c r="Y48" s="38"/>
      <c r="Z48" s="38"/>
      <c r="AA48" s="38"/>
      <c r="AB48" s="40"/>
      <c r="AC48" s="38"/>
      <c r="AD48" s="38"/>
      <c r="AE48" s="38"/>
      <c r="AF48" s="6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14">
        <v>45657.0</v>
      </c>
      <c r="BG48" s="7" t="s">
        <v>73</v>
      </c>
      <c r="BH48" s="7"/>
      <c r="BI48" s="15">
        <f t="shared" si="1"/>
        <v>38</v>
      </c>
      <c r="BJ48" s="15" t="str">
        <f t="shared" si="2"/>
        <v>35-55</v>
      </c>
      <c r="BK48" s="15"/>
      <c r="BL48" s="7"/>
      <c r="BM48" s="7"/>
      <c r="BN48" s="38"/>
    </row>
    <row r="49" ht="15.75" customHeight="1">
      <c r="A49" s="1">
        <v>54.0</v>
      </c>
      <c r="B49" s="2">
        <v>53.0</v>
      </c>
      <c r="C49" s="17">
        <v>44863.913117337965</v>
      </c>
      <c r="D49" s="18" t="s">
        <v>304</v>
      </c>
      <c r="E49" s="19">
        <v>35229.0</v>
      </c>
      <c r="F49" s="18" t="s">
        <v>106</v>
      </c>
      <c r="G49" s="18" t="s">
        <v>305</v>
      </c>
      <c r="H49" s="18">
        <v>1.156069396E9</v>
      </c>
      <c r="I49" s="18" t="s">
        <v>92</v>
      </c>
      <c r="J49" s="18" t="s">
        <v>85</v>
      </c>
      <c r="K49" s="18" t="s">
        <v>71</v>
      </c>
      <c r="L49" s="18">
        <v>65.0</v>
      </c>
      <c r="M49" s="18" t="s">
        <v>147</v>
      </c>
      <c r="N49" s="18" t="s">
        <v>73</v>
      </c>
      <c r="O49" s="18"/>
      <c r="P49" s="18" t="s">
        <v>74</v>
      </c>
      <c r="Q49" s="18"/>
      <c r="R49" s="18" t="s">
        <v>73</v>
      </c>
      <c r="S49" s="18" t="s">
        <v>73</v>
      </c>
      <c r="T49" s="18" t="s">
        <v>73</v>
      </c>
      <c r="U49" s="18" t="s">
        <v>73</v>
      </c>
      <c r="V49" s="18"/>
      <c r="W49" s="18"/>
      <c r="X49" s="18"/>
      <c r="Y49" s="18"/>
      <c r="Z49" s="18"/>
      <c r="AA49" s="18"/>
      <c r="AB49" s="20"/>
      <c r="AC49" s="18"/>
      <c r="AD49" s="18"/>
      <c r="AE49" s="18"/>
      <c r="AF49" s="6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4">
        <v>45657.0</v>
      </c>
      <c r="BG49" s="7" t="s">
        <v>73</v>
      </c>
      <c r="BH49" s="7"/>
      <c r="BI49" s="15">
        <f t="shared" si="1"/>
        <v>28</v>
      </c>
      <c r="BJ49" s="15" t="str">
        <f t="shared" si="2"/>
        <v>18-35</v>
      </c>
      <c r="BK49" s="15"/>
      <c r="BL49" s="7"/>
      <c r="BM49" s="7"/>
      <c r="BN49" s="18"/>
    </row>
    <row r="50" ht="15.75" customHeight="1">
      <c r="A50" s="1">
        <v>55.0</v>
      </c>
      <c r="B50" s="2">
        <v>54.0</v>
      </c>
      <c r="C50" s="32">
        <v>44864.87223591435</v>
      </c>
      <c r="D50" s="33" t="s">
        <v>306</v>
      </c>
      <c r="E50" s="34">
        <v>36453.0</v>
      </c>
      <c r="F50" s="33" t="s">
        <v>67</v>
      </c>
      <c r="G50" s="33" t="s">
        <v>307</v>
      </c>
      <c r="H50" s="33">
        <v>1.123866478E9</v>
      </c>
      <c r="I50" s="33" t="s">
        <v>176</v>
      </c>
      <c r="J50" s="33" t="s">
        <v>85</v>
      </c>
      <c r="K50" s="33" t="s">
        <v>86</v>
      </c>
      <c r="L50" s="33">
        <v>53.0</v>
      </c>
      <c r="M50" s="33">
        <v>1.64</v>
      </c>
      <c r="N50" s="33" t="s">
        <v>73</v>
      </c>
      <c r="O50" s="33"/>
      <c r="P50" s="33" t="s">
        <v>182</v>
      </c>
      <c r="Q50" s="33"/>
      <c r="R50" s="33" t="s">
        <v>75</v>
      </c>
      <c r="S50" s="33" t="s">
        <v>73</v>
      </c>
      <c r="T50" s="33" t="s">
        <v>73</v>
      </c>
      <c r="U50" s="33" t="s">
        <v>73</v>
      </c>
      <c r="V50" s="33"/>
      <c r="W50" s="33"/>
      <c r="X50" s="33"/>
      <c r="Y50" s="33"/>
      <c r="Z50" s="33"/>
      <c r="AA50" s="33"/>
      <c r="AB50" s="35"/>
      <c r="AC50" s="33"/>
      <c r="AD50" s="33"/>
      <c r="AE50" s="33"/>
      <c r="AF50" s="6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14">
        <v>45657.0</v>
      </c>
      <c r="BG50" s="7" t="s">
        <v>73</v>
      </c>
      <c r="BH50" s="7"/>
      <c r="BI50" s="15">
        <f t="shared" si="1"/>
        <v>25</v>
      </c>
      <c r="BJ50" s="15" t="str">
        <f t="shared" si="2"/>
        <v>18-35</v>
      </c>
      <c r="BK50" s="15"/>
      <c r="BL50" s="7"/>
      <c r="BM50" s="7"/>
      <c r="BN50" s="33"/>
    </row>
    <row r="51" ht="15.75" customHeight="1">
      <c r="A51" s="1">
        <v>57.0</v>
      </c>
      <c r="B51" s="2">
        <v>56.0</v>
      </c>
      <c r="C51" s="9">
        <v>44865.409972106485</v>
      </c>
      <c r="D51" s="10" t="s">
        <v>308</v>
      </c>
      <c r="E51" s="11">
        <v>35268.0</v>
      </c>
      <c r="F51" s="10" t="s">
        <v>67</v>
      </c>
      <c r="G51" s="10" t="s">
        <v>309</v>
      </c>
      <c r="H51" s="10">
        <v>1.132415839E9</v>
      </c>
      <c r="I51" s="10" t="s">
        <v>92</v>
      </c>
      <c r="J51" s="10" t="s">
        <v>109</v>
      </c>
      <c r="K51" s="10" t="s">
        <v>134</v>
      </c>
      <c r="L51" s="10">
        <v>60.0</v>
      </c>
      <c r="M51" s="10" t="s">
        <v>167</v>
      </c>
      <c r="N51" s="10" t="s">
        <v>73</v>
      </c>
      <c r="O51" s="10"/>
      <c r="P51" s="10" t="s">
        <v>74</v>
      </c>
      <c r="Q51" s="10"/>
      <c r="R51" s="10" t="s">
        <v>73</v>
      </c>
      <c r="S51" s="10" t="s">
        <v>73</v>
      </c>
      <c r="T51" s="10" t="s">
        <v>73</v>
      </c>
      <c r="U51" s="10" t="s">
        <v>73</v>
      </c>
      <c r="V51" s="10"/>
      <c r="W51" s="10"/>
      <c r="X51" s="10"/>
      <c r="Y51" s="10" t="s">
        <v>73</v>
      </c>
      <c r="Z51" s="10"/>
      <c r="AA51" s="10" t="s">
        <v>75</v>
      </c>
      <c r="AB51" s="12" t="s">
        <v>76</v>
      </c>
      <c r="AC51" s="10" t="s">
        <v>77</v>
      </c>
      <c r="AD51" s="10" t="s">
        <v>78</v>
      </c>
      <c r="AE51" s="13" t="s">
        <v>138</v>
      </c>
      <c r="AF51" s="6"/>
      <c r="AG51" s="10" t="s">
        <v>82</v>
      </c>
      <c r="AH51" s="10" t="s">
        <v>82</v>
      </c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4">
        <v>44867.0</v>
      </c>
      <c r="BG51" s="7" t="s">
        <v>75</v>
      </c>
      <c r="BH51" s="7" t="s">
        <v>1</v>
      </c>
      <c r="BI51" s="15">
        <f t="shared" si="1"/>
        <v>26</v>
      </c>
      <c r="BJ51" s="15" t="str">
        <f t="shared" si="2"/>
        <v>18-35</v>
      </c>
      <c r="BK51" s="15" t="s">
        <v>75</v>
      </c>
      <c r="BL51" s="15" t="s">
        <v>75</v>
      </c>
      <c r="BM51" s="16">
        <v>45596.0</v>
      </c>
      <c r="BN51" s="10"/>
    </row>
    <row r="52" ht="15.75" customHeight="1">
      <c r="A52" s="1">
        <v>58.0</v>
      </c>
      <c r="B52" s="2">
        <v>57.0</v>
      </c>
      <c r="C52" s="9">
        <v>44868.71431921296</v>
      </c>
      <c r="D52" s="10" t="s">
        <v>310</v>
      </c>
      <c r="E52" s="11">
        <v>28275.0</v>
      </c>
      <c r="F52" s="10" t="s">
        <v>106</v>
      </c>
      <c r="G52" s="10" t="s">
        <v>311</v>
      </c>
      <c r="H52" s="10">
        <v>6.8118106E7</v>
      </c>
      <c r="I52" s="10" t="s">
        <v>176</v>
      </c>
      <c r="J52" s="10" t="s">
        <v>70</v>
      </c>
      <c r="K52" s="10" t="s">
        <v>86</v>
      </c>
      <c r="L52" s="10">
        <v>80.0</v>
      </c>
      <c r="M52" s="10" t="s">
        <v>130</v>
      </c>
      <c r="N52" s="10" t="s">
        <v>73</v>
      </c>
      <c r="O52" s="10"/>
      <c r="P52" s="10" t="s">
        <v>74</v>
      </c>
      <c r="Q52" s="10"/>
      <c r="R52" s="10" t="s">
        <v>73</v>
      </c>
      <c r="S52" s="10" t="s">
        <v>73</v>
      </c>
      <c r="T52" s="10" t="s">
        <v>73</v>
      </c>
      <c r="U52" s="10" t="s">
        <v>73</v>
      </c>
      <c r="V52" s="10"/>
      <c r="W52" s="10"/>
      <c r="X52" s="10"/>
      <c r="Y52" s="10" t="s">
        <v>73</v>
      </c>
      <c r="Z52" s="10"/>
      <c r="AA52" s="10" t="s">
        <v>75</v>
      </c>
      <c r="AB52" s="12" t="s">
        <v>76</v>
      </c>
      <c r="AC52" s="10" t="s">
        <v>95</v>
      </c>
      <c r="AD52" s="10" t="s">
        <v>78</v>
      </c>
      <c r="AE52" s="13" t="s">
        <v>205</v>
      </c>
      <c r="AF52" s="6"/>
      <c r="AG52" s="10" t="s">
        <v>77</v>
      </c>
      <c r="AH52" s="10" t="s">
        <v>102</v>
      </c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4">
        <v>45657.0</v>
      </c>
      <c r="BG52" s="7" t="s">
        <v>75</v>
      </c>
      <c r="BH52" s="7"/>
      <c r="BI52" s="15">
        <f t="shared" si="1"/>
        <v>47</v>
      </c>
      <c r="BJ52" s="15" t="str">
        <f t="shared" si="2"/>
        <v>35-55</v>
      </c>
      <c r="BK52" s="15" t="s">
        <v>75</v>
      </c>
      <c r="BL52" s="15" t="s">
        <v>75</v>
      </c>
      <c r="BM52" s="16">
        <v>45596.0</v>
      </c>
      <c r="BN52" s="10" t="s">
        <v>80</v>
      </c>
    </row>
    <row r="53" ht="15.75" customHeight="1">
      <c r="A53" s="1">
        <v>59.0</v>
      </c>
      <c r="B53" s="2">
        <v>58.0</v>
      </c>
      <c r="C53" s="37">
        <v>44869.57228363426</v>
      </c>
      <c r="D53" s="38" t="s">
        <v>312</v>
      </c>
      <c r="E53" s="39">
        <v>33008.0</v>
      </c>
      <c r="F53" s="38" t="s">
        <v>106</v>
      </c>
      <c r="G53" s="38" t="s">
        <v>313</v>
      </c>
      <c r="H53" s="38">
        <v>3.425933985E9</v>
      </c>
      <c r="I53" s="38" t="s">
        <v>176</v>
      </c>
      <c r="J53" s="38" t="s">
        <v>85</v>
      </c>
      <c r="K53" s="38" t="s">
        <v>86</v>
      </c>
      <c r="L53" s="38">
        <v>71.0</v>
      </c>
      <c r="M53" s="38" t="s">
        <v>194</v>
      </c>
      <c r="N53" s="38" t="s">
        <v>73</v>
      </c>
      <c r="O53" s="38"/>
      <c r="P53" s="38" t="s">
        <v>74</v>
      </c>
      <c r="Q53" s="38"/>
      <c r="R53" s="38" t="s">
        <v>73</v>
      </c>
      <c r="S53" s="38" t="s">
        <v>73</v>
      </c>
      <c r="T53" s="38" t="s">
        <v>73</v>
      </c>
      <c r="U53" s="38" t="s">
        <v>73</v>
      </c>
      <c r="V53" s="38"/>
      <c r="W53" s="38"/>
      <c r="X53" s="38"/>
      <c r="Y53" s="38" t="s">
        <v>73</v>
      </c>
      <c r="Z53" s="38"/>
      <c r="AA53" s="38" t="s">
        <v>75</v>
      </c>
      <c r="AB53" s="40" t="s">
        <v>112</v>
      </c>
      <c r="AC53" s="38" t="s">
        <v>77</v>
      </c>
      <c r="AD53" s="38" t="s">
        <v>78</v>
      </c>
      <c r="AE53" s="43" t="s">
        <v>138</v>
      </c>
      <c r="AF53" s="44" t="s">
        <v>80</v>
      </c>
      <c r="AG53" s="38" t="s">
        <v>81</v>
      </c>
      <c r="AH53" s="38" t="s">
        <v>82</v>
      </c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45">
        <v>45261.0</v>
      </c>
      <c r="BG53" s="38" t="s">
        <v>75</v>
      </c>
      <c r="BH53" s="38" t="s">
        <v>104</v>
      </c>
      <c r="BI53" s="46">
        <f t="shared" si="1"/>
        <v>33</v>
      </c>
      <c r="BJ53" s="46" t="str">
        <f t="shared" si="2"/>
        <v>18-35</v>
      </c>
      <c r="BK53" s="15"/>
      <c r="BL53" s="7"/>
      <c r="BM53" s="7"/>
      <c r="BN53" s="10"/>
    </row>
    <row r="54" ht="15.75" customHeight="1">
      <c r="A54" s="1">
        <v>61.0</v>
      </c>
      <c r="B54" s="2">
        <v>59.0</v>
      </c>
      <c r="C54" s="28">
        <v>44869.75941731481</v>
      </c>
      <c r="D54" s="29" t="s">
        <v>314</v>
      </c>
      <c r="E54" s="30">
        <v>19410.0</v>
      </c>
      <c r="F54" s="29" t="s">
        <v>106</v>
      </c>
      <c r="G54" s="29" t="s">
        <v>315</v>
      </c>
      <c r="H54" s="29">
        <v>5.41132632025E11</v>
      </c>
      <c r="I54" s="29" t="s">
        <v>92</v>
      </c>
      <c r="J54" s="29" t="s">
        <v>109</v>
      </c>
      <c r="K54" s="29" t="s">
        <v>71</v>
      </c>
      <c r="L54" s="29">
        <v>95.0</v>
      </c>
      <c r="M54" s="29" t="s">
        <v>260</v>
      </c>
      <c r="N54" s="29" t="s">
        <v>75</v>
      </c>
      <c r="O54" s="29" t="s">
        <v>316</v>
      </c>
      <c r="P54" s="29" t="s">
        <v>178</v>
      </c>
      <c r="Q54" s="29"/>
      <c r="R54" s="29" t="s">
        <v>73</v>
      </c>
      <c r="S54" s="29" t="s">
        <v>73</v>
      </c>
      <c r="T54" s="29" t="s">
        <v>73</v>
      </c>
      <c r="U54" s="29" t="s">
        <v>75</v>
      </c>
      <c r="V54" s="29" t="s">
        <v>317</v>
      </c>
      <c r="W54" s="29" t="s">
        <v>318</v>
      </c>
      <c r="X54" s="29"/>
      <c r="Y54" s="29"/>
      <c r="Z54" s="29"/>
      <c r="AA54" s="29"/>
      <c r="AB54" s="31"/>
      <c r="AC54" s="29"/>
      <c r="AD54" s="29"/>
      <c r="AE54" s="29"/>
      <c r="AF54" s="6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14">
        <v>45657.0</v>
      </c>
      <c r="BG54" s="7" t="s">
        <v>73</v>
      </c>
      <c r="BH54" s="7"/>
      <c r="BI54" s="15">
        <f t="shared" si="1"/>
        <v>71</v>
      </c>
      <c r="BJ54" s="15" t="str">
        <f t="shared" si="2"/>
        <v>&gt;55</v>
      </c>
      <c r="BK54" s="15"/>
      <c r="BL54" s="7"/>
      <c r="BM54" s="7"/>
      <c r="BN54" s="29"/>
    </row>
    <row r="55" ht="15.75" customHeight="1">
      <c r="A55" s="1">
        <v>62.0</v>
      </c>
      <c r="B55" s="2">
        <v>61.0</v>
      </c>
      <c r="C55" s="17">
        <v>44869.768319282404</v>
      </c>
      <c r="D55" s="18" t="s">
        <v>319</v>
      </c>
      <c r="E55" s="19">
        <v>32230.0</v>
      </c>
      <c r="F55" s="18" t="s">
        <v>106</v>
      </c>
      <c r="G55" s="18" t="s">
        <v>320</v>
      </c>
      <c r="H55" s="18">
        <v>1.140746279E9</v>
      </c>
      <c r="I55" s="18" t="s">
        <v>176</v>
      </c>
      <c r="J55" s="18" t="s">
        <v>85</v>
      </c>
      <c r="K55" s="18" t="s">
        <v>86</v>
      </c>
      <c r="L55" s="18">
        <v>101.0</v>
      </c>
      <c r="M55" s="18">
        <v>1.76</v>
      </c>
      <c r="N55" s="18" t="s">
        <v>73</v>
      </c>
      <c r="O55" s="18"/>
      <c r="P55" s="18" t="s">
        <v>74</v>
      </c>
      <c r="Q55" s="18"/>
      <c r="R55" s="18" t="s">
        <v>73</v>
      </c>
      <c r="S55" s="18" t="s">
        <v>73</v>
      </c>
      <c r="T55" s="18" t="s">
        <v>73</v>
      </c>
      <c r="U55" s="18" t="s">
        <v>75</v>
      </c>
      <c r="V55" s="18" t="s">
        <v>321</v>
      </c>
      <c r="W55" s="18" t="s">
        <v>322</v>
      </c>
      <c r="X55" s="18"/>
      <c r="Y55" s="18"/>
      <c r="Z55" s="18"/>
      <c r="AA55" s="18"/>
      <c r="AB55" s="20"/>
      <c r="AC55" s="18"/>
      <c r="AD55" s="18"/>
      <c r="AE55" s="18"/>
      <c r="AF55" s="6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4">
        <v>45657.0</v>
      </c>
      <c r="BG55" s="7" t="s">
        <v>73</v>
      </c>
      <c r="BH55" s="7"/>
      <c r="BI55" s="15">
        <f t="shared" si="1"/>
        <v>36</v>
      </c>
      <c r="BJ55" s="15" t="str">
        <f t="shared" si="2"/>
        <v>35-55</v>
      </c>
      <c r="BK55" s="15"/>
      <c r="BL55" s="7"/>
      <c r="BM55" s="7"/>
      <c r="BN55" s="18"/>
    </row>
    <row r="56" ht="15.75" customHeight="1">
      <c r="A56" s="1">
        <v>63.0</v>
      </c>
      <c r="B56" s="2">
        <v>62.0</v>
      </c>
      <c r="C56" s="9">
        <v>44869.93334862268</v>
      </c>
      <c r="D56" s="10" t="s">
        <v>323</v>
      </c>
      <c r="E56" s="11">
        <v>34637.0</v>
      </c>
      <c r="F56" s="10" t="s">
        <v>106</v>
      </c>
      <c r="G56" s="10" t="s">
        <v>324</v>
      </c>
      <c r="H56" s="10">
        <v>1.130838337E9</v>
      </c>
      <c r="I56" s="10" t="s">
        <v>176</v>
      </c>
      <c r="J56" s="10" t="s">
        <v>85</v>
      </c>
      <c r="K56" s="10" t="s">
        <v>86</v>
      </c>
      <c r="L56" s="10">
        <v>70.0</v>
      </c>
      <c r="M56" s="10" t="s">
        <v>325</v>
      </c>
      <c r="N56" s="10" t="s">
        <v>73</v>
      </c>
      <c r="O56" s="10"/>
      <c r="P56" s="10" t="s">
        <v>74</v>
      </c>
      <c r="Q56" s="10"/>
      <c r="R56" s="10" t="s">
        <v>73</v>
      </c>
      <c r="S56" s="10" t="s">
        <v>73</v>
      </c>
      <c r="T56" s="10" t="s">
        <v>73</v>
      </c>
      <c r="U56" s="10" t="s">
        <v>73</v>
      </c>
      <c r="V56" s="10"/>
      <c r="W56" s="10"/>
      <c r="X56" s="10"/>
      <c r="Y56" s="10" t="s">
        <v>73</v>
      </c>
      <c r="Z56" s="10"/>
      <c r="AA56" s="10" t="s">
        <v>75</v>
      </c>
      <c r="AB56" s="12" t="s">
        <v>112</v>
      </c>
      <c r="AC56" s="10" t="s">
        <v>77</v>
      </c>
      <c r="AD56" s="10" t="s">
        <v>94</v>
      </c>
      <c r="AE56" s="13" t="s">
        <v>113</v>
      </c>
      <c r="AF56" s="6"/>
      <c r="AG56" s="10" t="s">
        <v>81</v>
      </c>
      <c r="AH56" s="10" t="s">
        <v>82</v>
      </c>
      <c r="AI56" s="10"/>
      <c r="AJ56" s="10"/>
      <c r="AK56" s="10"/>
      <c r="AL56" s="10"/>
      <c r="AM56" s="10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14">
        <v>44895.0</v>
      </c>
      <c r="BG56" s="7" t="s">
        <v>75</v>
      </c>
      <c r="BH56" s="7" t="s">
        <v>1</v>
      </c>
      <c r="BI56" s="15">
        <f t="shared" si="1"/>
        <v>28</v>
      </c>
      <c r="BJ56" s="15" t="str">
        <f t="shared" si="2"/>
        <v>18-35</v>
      </c>
      <c r="BK56" s="15" t="s">
        <v>75</v>
      </c>
      <c r="BL56" s="47" t="s">
        <v>326</v>
      </c>
      <c r="BM56" s="7"/>
      <c r="BN56" s="10"/>
    </row>
    <row r="57" ht="15.75" customHeight="1">
      <c r="A57" s="1">
        <v>66.0</v>
      </c>
      <c r="B57" s="2">
        <v>63.0</v>
      </c>
      <c r="C57" s="32">
        <v>44871.40624211806</v>
      </c>
      <c r="D57" s="33" t="s">
        <v>327</v>
      </c>
      <c r="E57" s="34">
        <v>25142.0</v>
      </c>
      <c r="F57" s="33" t="s">
        <v>67</v>
      </c>
      <c r="G57" s="33" t="s">
        <v>328</v>
      </c>
      <c r="H57" s="33">
        <v>1.140235688E9</v>
      </c>
      <c r="I57" s="33" t="s">
        <v>92</v>
      </c>
      <c r="J57" s="33" t="s">
        <v>109</v>
      </c>
      <c r="K57" s="33" t="s">
        <v>71</v>
      </c>
      <c r="L57" s="33">
        <v>70.0</v>
      </c>
      <c r="M57" s="33">
        <v>1.64</v>
      </c>
      <c r="N57" s="33" t="s">
        <v>73</v>
      </c>
      <c r="O57" s="33"/>
      <c r="P57" s="33" t="s">
        <v>329</v>
      </c>
      <c r="Q57" s="33"/>
      <c r="R57" s="33" t="s">
        <v>73</v>
      </c>
      <c r="S57" s="33" t="s">
        <v>73</v>
      </c>
      <c r="T57" s="33" t="s">
        <v>73</v>
      </c>
      <c r="U57" s="33" t="s">
        <v>73</v>
      </c>
      <c r="V57" s="33"/>
      <c r="W57" s="33"/>
      <c r="X57" s="33"/>
      <c r="Y57" s="33"/>
      <c r="Z57" s="33"/>
      <c r="AA57" s="33"/>
      <c r="AB57" s="35"/>
      <c r="AC57" s="33"/>
      <c r="AD57" s="33"/>
      <c r="AE57" s="33"/>
      <c r="AF57" s="6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14">
        <v>45657.0</v>
      </c>
      <c r="BG57" s="7" t="s">
        <v>73</v>
      </c>
      <c r="BH57" s="7"/>
      <c r="BI57" s="15">
        <f t="shared" si="1"/>
        <v>56</v>
      </c>
      <c r="BJ57" s="15" t="str">
        <f t="shared" si="2"/>
        <v>&gt;55</v>
      </c>
      <c r="BK57" s="15"/>
      <c r="BL57" s="7"/>
      <c r="BM57" s="7"/>
      <c r="BN57" s="33"/>
    </row>
    <row r="58" ht="15.75" customHeight="1">
      <c r="A58" s="1">
        <v>68.0</v>
      </c>
      <c r="B58" s="2">
        <v>64.0</v>
      </c>
      <c r="C58" s="17">
        <v>44871.44905221065</v>
      </c>
      <c r="D58" s="18" t="s">
        <v>330</v>
      </c>
      <c r="E58" s="19">
        <v>29880.0</v>
      </c>
      <c r="F58" s="18" t="s">
        <v>106</v>
      </c>
      <c r="G58" s="18" t="s">
        <v>331</v>
      </c>
      <c r="H58" s="18">
        <v>1.158809521E9</v>
      </c>
      <c r="I58" s="18" t="s">
        <v>176</v>
      </c>
      <c r="J58" s="18" t="s">
        <v>85</v>
      </c>
      <c r="K58" s="18" t="s">
        <v>86</v>
      </c>
      <c r="L58" s="18">
        <v>73.0</v>
      </c>
      <c r="M58" s="18">
        <v>1.72</v>
      </c>
      <c r="N58" s="18" t="s">
        <v>73</v>
      </c>
      <c r="O58" s="18"/>
      <c r="P58" s="18" t="s">
        <v>74</v>
      </c>
      <c r="Q58" s="18"/>
      <c r="R58" s="18" t="s">
        <v>73</v>
      </c>
      <c r="S58" s="18" t="s">
        <v>73</v>
      </c>
      <c r="T58" s="18" t="s">
        <v>73</v>
      </c>
      <c r="U58" s="18" t="s">
        <v>73</v>
      </c>
      <c r="V58" s="18"/>
      <c r="W58" s="18"/>
      <c r="X58" s="18"/>
      <c r="Y58" s="18"/>
      <c r="Z58" s="18"/>
      <c r="AA58" s="18"/>
      <c r="AB58" s="20"/>
      <c r="AC58" s="18"/>
      <c r="AD58" s="18"/>
      <c r="AE58" s="18"/>
      <c r="AF58" s="6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4">
        <v>45657.0</v>
      </c>
      <c r="BG58" s="7" t="s">
        <v>73</v>
      </c>
      <c r="BH58" s="7"/>
      <c r="BI58" s="15">
        <f t="shared" si="1"/>
        <v>43</v>
      </c>
      <c r="BJ58" s="15" t="str">
        <f t="shared" si="2"/>
        <v>35-55</v>
      </c>
      <c r="BK58" s="15"/>
      <c r="BL58" s="7"/>
      <c r="BM58" s="7"/>
      <c r="BN58" s="18"/>
    </row>
    <row r="59" ht="15.75" customHeight="1">
      <c r="A59" s="1">
        <v>69.0</v>
      </c>
      <c r="B59" s="2">
        <v>65.0</v>
      </c>
      <c r="C59" s="17">
        <v>44871.46002532408</v>
      </c>
      <c r="D59" s="18" t="s">
        <v>332</v>
      </c>
      <c r="E59" s="19">
        <v>19856.0</v>
      </c>
      <c r="F59" s="18" t="s">
        <v>67</v>
      </c>
      <c r="G59" s="18" t="s">
        <v>333</v>
      </c>
      <c r="H59" s="18">
        <v>1.144710343E9</v>
      </c>
      <c r="I59" s="18" t="s">
        <v>221</v>
      </c>
      <c r="J59" s="18" t="s">
        <v>85</v>
      </c>
      <c r="K59" s="18" t="s">
        <v>166</v>
      </c>
      <c r="L59" s="18">
        <v>68.0</v>
      </c>
      <c r="M59" s="18" t="s">
        <v>126</v>
      </c>
      <c r="N59" s="18" t="s">
        <v>75</v>
      </c>
      <c r="O59" s="18" t="s">
        <v>334</v>
      </c>
      <c r="P59" s="18" t="s">
        <v>74</v>
      </c>
      <c r="Q59" s="18"/>
      <c r="R59" s="18" t="s">
        <v>73</v>
      </c>
      <c r="S59" s="18" t="s">
        <v>73</v>
      </c>
      <c r="T59" s="18" t="s">
        <v>73</v>
      </c>
      <c r="U59" s="18" t="s">
        <v>75</v>
      </c>
      <c r="V59" s="18" t="s">
        <v>335</v>
      </c>
      <c r="W59" s="18" t="s">
        <v>336</v>
      </c>
      <c r="X59" s="18"/>
      <c r="Y59" s="18"/>
      <c r="Z59" s="18"/>
      <c r="AA59" s="18"/>
      <c r="AB59" s="20"/>
      <c r="AC59" s="18"/>
      <c r="AD59" s="18"/>
      <c r="AE59" s="18"/>
      <c r="AF59" s="6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4">
        <v>45657.0</v>
      </c>
      <c r="BG59" s="7" t="s">
        <v>73</v>
      </c>
      <c r="BH59" s="7"/>
      <c r="BI59" s="15">
        <f t="shared" si="1"/>
        <v>70</v>
      </c>
      <c r="BJ59" s="15" t="str">
        <f t="shared" si="2"/>
        <v>&gt;55</v>
      </c>
      <c r="BK59" s="15"/>
      <c r="BL59" s="7"/>
      <c r="BM59" s="7"/>
      <c r="BN59" s="18"/>
    </row>
    <row r="60" ht="15.75" customHeight="1">
      <c r="A60" s="1">
        <v>70.0</v>
      </c>
      <c r="B60" s="2">
        <v>66.0</v>
      </c>
      <c r="C60" s="17">
        <v>44871.46731762731</v>
      </c>
      <c r="D60" s="18" t="s">
        <v>337</v>
      </c>
      <c r="E60" s="19">
        <v>27287.0</v>
      </c>
      <c r="F60" s="18" t="s">
        <v>67</v>
      </c>
      <c r="G60" s="18" t="s">
        <v>338</v>
      </c>
      <c r="H60" s="18">
        <v>1.158868912E9</v>
      </c>
      <c r="I60" s="18" t="s">
        <v>221</v>
      </c>
      <c r="J60" s="18" t="s">
        <v>85</v>
      </c>
      <c r="K60" s="18" t="s">
        <v>86</v>
      </c>
      <c r="L60" s="18">
        <v>75.0</v>
      </c>
      <c r="M60" s="18" t="s">
        <v>271</v>
      </c>
      <c r="N60" s="18" t="s">
        <v>73</v>
      </c>
      <c r="O60" s="18"/>
      <c r="P60" s="18" t="s">
        <v>74</v>
      </c>
      <c r="Q60" s="18"/>
      <c r="R60" s="18" t="s">
        <v>73</v>
      </c>
      <c r="S60" s="18" t="s">
        <v>73</v>
      </c>
      <c r="T60" s="18" t="s">
        <v>73</v>
      </c>
      <c r="U60" s="18" t="s">
        <v>73</v>
      </c>
      <c r="V60" s="18"/>
      <c r="W60" s="18"/>
      <c r="X60" s="18"/>
      <c r="Y60" s="18"/>
      <c r="Z60" s="18"/>
      <c r="AA60" s="18"/>
      <c r="AB60" s="20"/>
      <c r="AC60" s="18"/>
      <c r="AD60" s="18"/>
      <c r="AE60" s="18"/>
      <c r="AF60" s="6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4">
        <v>45657.0</v>
      </c>
      <c r="BG60" s="7" t="s">
        <v>73</v>
      </c>
      <c r="BH60" s="7"/>
      <c r="BI60" s="15">
        <f t="shared" si="1"/>
        <v>50</v>
      </c>
      <c r="BJ60" s="15" t="str">
        <f t="shared" si="2"/>
        <v>35-55</v>
      </c>
      <c r="BK60" s="15"/>
      <c r="BL60" s="7"/>
      <c r="BM60" s="7"/>
      <c r="BN60" s="18"/>
    </row>
    <row r="61" ht="15.75" customHeight="1">
      <c r="A61" s="1">
        <v>71.0</v>
      </c>
      <c r="B61" s="2">
        <v>67.0</v>
      </c>
      <c r="C61" s="48">
        <v>44871.47240371528</v>
      </c>
      <c r="D61" s="49" t="s">
        <v>339</v>
      </c>
      <c r="E61" s="50">
        <v>24512.0</v>
      </c>
      <c r="F61" s="49" t="s">
        <v>67</v>
      </c>
      <c r="G61" s="49" t="s">
        <v>340</v>
      </c>
      <c r="H61" s="49">
        <v>1.141863411E9</v>
      </c>
      <c r="I61" s="49" t="s">
        <v>92</v>
      </c>
      <c r="J61" s="49" t="s">
        <v>85</v>
      </c>
      <c r="K61" s="49" t="s">
        <v>134</v>
      </c>
      <c r="L61" s="49">
        <v>62.0</v>
      </c>
      <c r="M61" s="49" t="s">
        <v>341</v>
      </c>
      <c r="N61" s="49" t="s">
        <v>73</v>
      </c>
      <c r="O61" s="49"/>
      <c r="P61" s="49" t="s">
        <v>342</v>
      </c>
      <c r="Q61" s="49"/>
      <c r="R61" s="49" t="s">
        <v>73</v>
      </c>
      <c r="S61" s="49" t="s">
        <v>73</v>
      </c>
      <c r="T61" s="49" t="s">
        <v>73</v>
      </c>
      <c r="U61" s="49" t="s">
        <v>73</v>
      </c>
      <c r="V61" s="49"/>
      <c r="W61" s="49"/>
      <c r="X61" s="49"/>
      <c r="Y61" s="49"/>
      <c r="Z61" s="49"/>
      <c r="AA61" s="49"/>
      <c r="AB61" s="51"/>
      <c r="AC61" s="49"/>
      <c r="AD61" s="49"/>
      <c r="AE61" s="49"/>
      <c r="AF61" s="6"/>
      <c r="AG61" s="49"/>
      <c r="AH61" s="49"/>
      <c r="AI61" s="49"/>
      <c r="AJ61" s="49"/>
      <c r="AK61" s="49"/>
      <c r="AL61" s="49"/>
      <c r="AM61" s="49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14">
        <v>45657.0</v>
      </c>
      <c r="BG61" s="7" t="s">
        <v>73</v>
      </c>
      <c r="BH61" s="7"/>
      <c r="BI61" s="15">
        <f t="shared" si="1"/>
        <v>57</v>
      </c>
      <c r="BJ61" s="15" t="str">
        <f t="shared" si="2"/>
        <v>&gt;55</v>
      </c>
      <c r="BK61" s="15"/>
      <c r="BL61" s="7"/>
      <c r="BM61" s="7"/>
      <c r="BN61" s="49"/>
    </row>
    <row r="62" ht="15.75" customHeight="1">
      <c r="A62" s="1">
        <v>72.0</v>
      </c>
      <c r="B62" s="2">
        <v>68.0</v>
      </c>
      <c r="C62" s="32">
        <v>44871.50898267361</v>
      </c>
      <c r="D62" s="33" t="s">
        <v>343</v>
      </c>
      <c r="E62" s="34">
        <v>29269.0</v>
      </c>
      <c r="F62" s="33" t="s">
        <v>106</v>
      </c>
      <c r="G62" s="33" t="s">
        <v>344</v>
      </c>
      <c r="H62" s="33">
        <v>1.569242619E9</v>
      </c>
      <c r="I62" s="33" t="s">
        <v>176</v>
      </c>
      <c r="J62" s="33" t="s">
        <v>85</v>
      </c>
      <c r="K62" s="33" t="s">
        <v>86</v>
      </c>
      <c r="L62" s="33">
        <v>90.0</v>
      </c>
      <c r="M62" s="33" t="s">
        <v>126</v>
      </c>
      <c r="N62" s="33" t="s">
        <v>73</v>
      </c>
      <c r="O62" s="33"/>
      <c r="P62" s="33" t="s">
        <v>329</v>
      </c>
      <c r="Q62" s="33"/>
      <c r="R62" s="33" t="s">
        <v>73</v>
      </c>
      <c r="S62" s="33" t="s">
        <v>73</v>
      </c>
      <c r="T62" s="33" t="s">
        <v>73</v>
      </c>
      <c r="U62" s="33" t="s">
        <v>73</v>
      </c>
      <c r="V62" s="33"/>
      <c r="W62" s="33"/>
      <c r="X62" s="33"/>
      <c r="Y62" s="33"/>
      <c r="Z62" s="33"/>
      <c r="AA62" s="33"/>
      <c r="AB62" s="35"/>
      <c r="AC62" s="33"/>
      <c r="AD62" s="33"/>
      <c r="AE62" s="33"/>
      <c r="AF62" s="6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14">
        <v>45657.0</v>
      </c>
      <c r="BG62" s="7" t="s">
        <v>73</v>
      </c>
      <c r="BH62" s="7"/>
      <c r="BI62" s="15">
        <f t="shared" si="1"/>
        <v>44</v>
      </c>
      <c r="BJ62" s="15" t="str">
        <f t="shared" si="2"/>
        <v>35-55</v>
      </c>
      <c r="BK62" s="15"/>
      <c r="BL62" s="7"/>
      <c r="BM62" s="7"/>
      <c r="BN62" s="33"/>
    </row>
    <row r="63" ht="15.75" customHeight="1">
      <c r="A63" s="1">
        <v>73.0</v>
      </c>
      <c r="B63" s="2">
        <v>69.0</v>
      </c>
      <c r="C63" s="17">
        <v>44871.730303854165</v>
      </c>
      <c r="D63" s="18" t="s">
        <v>345</v>
      </c>
      <c r="E63" s="19">
        <v>26844.0</v>
      </c>
      <c r="F63" s="18" t="s">
        <v>67</v>
      </c>
      <c r="G63" s="18" t="s">
        <v>346</v>
      </c>
      <c r="H63" s="18">
        <v>1.144128281E9</v>
      </c>
      <c r="I63" s="18" t="s">
        <v>92</v>
      </c>
      <c r="J63" s="18" t="s">
        <v>85</v>
      </c>
      <c r="K63" s="18" t="s">
        <v>86</v>
      </c>
      <c r="L63" s="18">
        <v>50.0</v>
      </c>
      <c r="M63" s="18" t="s">
        <v>295</v>
      </c>
      <c r="N63" s="18" t="s">
        <v>75</v>
      </c>
      <c r="O63" s="18" t="s">
        <v>347</v>
      </c>
      <c r="P63" s="18" t="s">
        <v>74</v>
      </c>
      <c r="Q63" s="18"/>
      <c r="R63" s="18" t="s">
        <v>73</v>
      </c>
      <c r="S63" s="18" t="s">
        <v>73</v>
      </c>
      <c r="T63" s="18" t="s">
        <v>73</v>
      </c>
      <c r="U63" s="18" t="s">
        <v>75</v>
      </c>
      <c r="V63" s="18" t="s">
        <v>348</v>
      </c>
      <c r="W63" s="18" t="s">
        <v>349</v>
      </c>
      <c r="X63" s="18"/>
      <c r="Y63" s="18"/>
      <c r="Z63" s="18"/>
      <c r="AA63" s="18"/>
      <c r="AB63" s="20"/>
      <c r="AC63" s="18"/>
      <c r="AD63" s="18"/>
      <c r="AE63" s="18"/>
      <c r="AF63" s="6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4">
        <v>45657.0</v>
      </c>
      <c r="BG63" s="7" t="s">
        <v>73</v>
      </c>
      <c r="BH63" s="7"/>
      <c r="BI63" s="15">
        <f t="shared" si="1"/>
        <v>51</v>
      </c>
      <c r="BJ63" s="15" t="str">
        <f t="shared" si="2"/>
        <v>35-55</v>
      </c>
      <c r="BK63" s="15"/>
      <c r="BL63" s="7"/>
      <c r="BM63" s="7"/>
      <c r="BN63" s="18"/>
    </row>
    <row r="64" ht="15.75" customHeight="1">
      <c r="A64" s="1">
        <v>74.0</v>
      </c>
      <c r="B64" s="2">
        <v>70.0</v>
      </c>
      <c r="C64" s="37">
        <v>44871.747168368056</v>
      </c>
      <c r="D64" s="38" t="s">
        <v>350</v>
      </c>
      <c r="E64" s="39">
        <v>23205.0</v>
      </c>
      <c r="F64" s="38" t="s">
        <v>67</v>
      </c>
      <c r="G64" s="38" t="s">
        <v>351</v>
      </c>
      <c r="H64" s="38">
        <v>1.14992444E9</v>
      </c>
      <c r="I64" s="38" t="s">
        <v>221</v>
      </c>
      <c r="J64" s="38" t="s">
        <v>70</v>
      </c>
      <c r="K64" s="38" t="s">
        <v>71</v>
      </c>
      <c r="L64" s="38">
        <v>62.0</v>
      </c>
      <c r="M64" s="38" t="s">
        <v>163</v>
      </c>
      <c r="N64" s="38" t="s">
        <v>75</v>
      </c>
      <c r="O64" s="38" t="s">
        <v>352</v>
      </c>
      <c r="P64" s="38" t="s">
        <v>210</v>
      </c>
      <c r="Q64" s="38" t="s">
        <v>353</v>
      </c>
      <c r="R64" s="38" t="s">
        <v>73</v>
      </c>
      <c r="S64" s="38" t="s">
        <v>73</v>
      </c>
      <c r="T64" s="38" t="s">
        <v>73</v>
      </c>
      <c r="U64" s="38" t="s">
        <v>75</v>
      </c>
      <c r="V64" s="38" t="s">
        <v>354</v>
      </c>
      <c r="W64" s="38" t="s">
        <v>355</v>
      </c>
      <c r="X64" s="38"/>
      <c r="Y64" s="38"/>
      <c r="Z64" s="38"/>
      <c r="AA64" s="38"/>
      <c r="AB64" s="40"/>
      <c r="AC64" s="38"/>
      <c r="AD64" s="38"/>
      <c r="AE64" s="38"/>
      <c r="AF64" s="6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14">
        <v>45657.0</v>
      </c>
      <c r="BG64" s="7" t="s">
        <v>73</v>
      </c>
      <c r="BH64" s="7"/>
      <c r="BI64" s="15">
        <f t="shared" si="1"/>
        <v>61</v>
      </c>
      <c r="BJ64" s="15" t="str">
        <f t="shared" si="2"/>
        <v>&gt;55</v>
      </c>
      <c r="BK64" s="15"/>
      <c r="BL64" s="7"/>
      <c r="BM64" s="7"/>
      <c r="BN64" s="38"/>
    </row>
    <row r="65" ht="15.75" customHeight="1">
      <c r="A65" s="1">
        <v>75.0</v>
      </c>
      <c r="B65" s="2">
        <v>71.0</v>
      </c>
      <c r="C65" s="52">
        <v>44871.945222118055</v>
      </c>
      <c r="D65" s="53" t="s">
        <v>356</v>
      </c>
      <c r="E65" s="54">
        <v>13989.0</v>
      </c>
      <c r="F65" s="53" t="s">
        <v>106</v>
      </c>
      <c r="G65" s="53" t="s">
        <v>357</v>
      </c>
      <c r="H65" s="53">
        <v>5.491151839766E12</v>
      </c>
      <c r="I65" s="53" t="s">
        <v>221</v>
      </c>
      <c r="J65" s="53" t="s">
        <v>85</v>
      </c>
      <c r="K65" s="53" t="s">
        <v>71</v>
      </c>
      <c r="L65" s="53">
        <v>76.0</v>
      </c>
      <c r="M65" s="53" t="s">
        <v>194</v>
      </c>
      <c r="N65" s="53" t="s">
        <v>73</v>
      </c>
      <c r="O65" s="53"/>
      <c r="P65" s="53" t="s">
        <v>358</v>
      </c>
      <c r="Q65" s="53"/>
      <c r="R65" s="53" t="s">
        <v>73</v>
      </c>
      <c r="S65" s="53" t="s">
        <v>73</v>
      </c>
      <c r="T65" s="53" t="s">
        <v>73</v>
      </c>
      <c r="U65" s="53" t="s">
        <v>75</v>
      </c>
      <c r="V65" s="53" t="s">
        <v>359</v>
      </c>
      <c r="W65" s="53" t="s">
        <v>360</v>
      </c>
      <c r="X65" s="53"/>
      <c r="Y65" s="53"/>
      <c r="Z65" s="53"/>
      <c r="AA65" s="53"/>
      <c r="AB65" s="55"/>
      <c r="AC65" s="53"/>
      <c r="AD65" s="53"/>
      <c r="AE65" s="53"/>
      <c r="AF65" s="6"/>
      <c r="AG65" s="53"/>
      <c r="AH65" s="53"/>
      <c r="AI65" s="53"/>
      <c r="AJ65" s="53"/>
      <c r="AK65" s="53"/>
      <c r="AL65" s="53"/>
      <c r="AM65" s="53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14">
        <v>45657.0</v>
      </c>
      <c r="BG65" s="7" t="s">
        <v>73</v>
      </c>
      <c r="BH65" s="7"/>
      <c r="BI65" s="15">
        <f t="shared" si="1"/>
        <v>86</v>
      </c>
      <c r="BJ65" s="15" t="str">
        <f t="shared" si="2"/>
        <v>&gt;55</v>
      </c>
      <c r="BK65" s="15"/>
      <c r="BL65" s="7"/>
      <c r="BM65" s="7"/>
      <c r="BN65" s="53"/>
    </row>
    <row r="66" ht="15.75" customHeight="1">
      <c r="A66" s="1">
        <v>76.0</v>
      </c>
      <c r="B66" s="2">
        <v>72.0</v>
      </c>
      <c r="C66" s="28">
        <v>44872.59486398148</v>
      </c>
      <c r="D66" s="29" t="s">
        <v>361</v>
      </c>
      <c r="E66" s="30">
        <v>29438.0</v>
      </c>
      <c r="F66" s="29" t="s">
        <v>67</v>
      </c>
      <c r="G66" s="29" t="s">
        <v>362</v>
      </c>
      <c r="H66" s="29" t="s">
        <v>363</v>
      </c>
      <c r="I66" s="29" t="s">
        <v>92</v>
      </c>
      <c r="J66" s="29" t="s">
        <v>85</v>
      </c>
      <c r="K66" s="29" t="s">
        <v>71</v>
      </c>
      <c r="L66" s="29">
        <v>57.0</v>
      </c>
      <c r="M66" s="29" t="s">
        <v>260</v>
      </c>
      <c r="N66" s="29" t="s">
        <v>73</v>
      </c>
      <c r="O66" s="29" t="s">
        <v>137</v>
      </c>
      <c r="P66" s="29" t="s">
        <v>178</v>
      </c>
      <c r="Q66" s="29"/>
      <c r="R66" s="29" t="s">
        <v>73</v>
      </c>
      <c r="S66" s="29" t="s">
        <v>73</v>
      </c>
      <c r="T66" s="29" t="s">
        <v>73</v>
      </c>
      <c r="U66" s="29" t="s">
        <v>75</v>
      </c>
      <c r="V66" s="29" t="s">
        <v>364</v>
      </c>
      <c r="W66" s="29" t="s">
        <v>365</v>
      </c>
      <c r="X66" s="29"/>
      <c r="Y66" s="29"/>
      <c r="Z66" s="29"/>
      <c r="AA66" s="29"/>
      <c r="AB66" s="31"/>
      <c r="AC66" s="29"/>
      <c r="AD66" s="29"/>
      <c r="AE66" s="29"/>
      <c r="AF66" s="6"/>
      <c r="AG66" s="29"/>
      <c r="AH66" s="29"/>
      <c r="AI66" s="29"/>
      <c r="AJ66" s="29"/>
      <c r="AK66" s="29"/>
      <c r="AL66" s="29"/>
      <c r="AM66" s="29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  <c r="BD66" s="56"/>
      <c r="BE66" s="56"/>
      <c r="BF66" s="14">
        <v>45657.0</v>
      </c>
      <c r="BG66" s="7" t="s">
        <v>73</v>
      </c>
      <c r="BH66" s="7"/>
      <c r="BI66" s="15">
        <f t="shared" si="1"/>
        <v>44</v>
      </c>
      <c r="BJ66" s="15" t="str">
        <f t="shared" si="2"/>
        <v>35-55</v>
      </c>
      <c r="BK66" s="15"/>
      <c r="BL66" s="7"/>
      <c r="BM66" s="7"/>
      <c r="BN66" s="29"/>
    </row>
    <row r="67" ht="15.75" customHeight="1">
      <c r="A67" s="1">
        <v>77.0</v>
      </c>
      <c r="B67" s="2">
        <v>73.0</v>
      </c>
      <c r="C67" s="37">
        <v>44872.59824146991</v>
      </c>
      <c r="D67" s="38" t="s">
        <v>366</v>
      </c>
      <c r="E67" s="39">
        <v>27310.0</v>
      </c>
      <c r="F67" s="38" t="s">
        <v>106</v>
      </c>
      <c r="G67" s="38" t="s">
        <v>367</v>
      </c>
      <c r="H67" s="38">
        <v>1.136054228E9</v>
      </c>
      <c r="I67" s="38" t="s">
        <v>92</v>
      </c>
      <c r="J67" s="38" t="s">
        <v>146</v>
      </c>
      <c r="K67" s="38" t="s">
        <v>166</v>
      </c>
      <c r="L67" s="38">
        <v>95.0</v>
      </c>
      <c r="M67" s="38" t="s">
        <v>368</v>
      </c>
      <c r="N67" s="38" t="s">
        <v>73</v>
      </c>
      <c r="O67" s="38" t="s">
        <v>369</v>
      </c>
      <c r="P67" s="38" t="s">
        <v>370</v>
      </c>
      <c r="Q67" s="38"/>
      <c r="R67" s="38" t="s">
        <v>73</v>
      </c>
      <c r="S67" s="38" t="s">
        <v>73</v>
      </c>
      <c r="T67" s="38" t="s">
        <v>73</v>
      </c>
      <c r="U67" s="38" t="s">
        <v>73</v>
      </c>
      <c r="V67" s="38"/>
      <c r="W67" s="38"/>
      <c r="X67" s="38"/>
      <c r="Y67" s="38"/>
      <c r="Z67" s="38"/>
      <c r="AA67" s="38"/>
      <c r="AB67" s="40"/>
      <c r="AC67" s="38"/>
      <c r="AD67" s="38"/>
      <c r="AE67" s="38"/>
      <c r="AF67" s="6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14">
        <v>45657.0</v>
      </c>
      <c r="BG67" s="7" t="s">
        <v>73</v>
      </c>
      <c r="BH67" s="7"/>
      <c r="BI67" s="15">
        <f t="shared" si="1"/>
        <v>50</v>
      </c>
      <c r="BJ67" s="15" t="str">
        <f t="shared" si="2"/>
        <v>35-55</v>
      </c>
      <c r="BK67" s="15"/>
      <c r="BL67" s="7"/>
      <c r="BM67" s="7"/>
      <c r="BN67" s="38"/>
    </row>
    <row r="68" ht="15.75" customHeight="1">
      <c r="A68" s="1">
        <v>78.0</v>
      </c>
      <c r="B68" s="2">
        <v>74.0</v>
      </c>
      <c r="C68" s="48">
        <v>44872.617691666666</v>
      </c>
      <c r="D68" s="49" t="s">
        <v>371</v>
      </c>
      <c r="E68" s="50">
        <v>16229.0</v>
      </c>
      <c r="F68" s="49" t="s">
        <v>67</v>
      </c>
      <c r="G68" s="49" t="s">
        <v>372</v>
      </c>
      <c r="H68" s="49">
        <v>1.157395012E9</v>
      </c>
      <c r="I68" s="49" t="s">
        <v>221</v>
      </c>
      <c r="J68" s="49" t="s">
        <v>85</v>
      </c>
      <c r="K68" s="49" t="s">
        <v>134</v>
      </c>
      <c r="L68" s="49">
        <v>68.0</v>
      </c>
      <c r="M68" s="49" t="s">
        <v>341</v>
      </c>
      <c r="N68" s="49" t="s">
        <v>75</v>
      </c>
      <c r="O68" s="49"/>
      <c r="P68" s="49" t="s">
        <v>342</v>
      </c>
      <c r="Q68" s="49"/>
      <c r="R68" s="49" t="s">
        <v>73</v>
      </c>
      <c r="S68" s="49" t="s">
        <v>73</v>
      </c>
      <c r="T68" s="49" t="s">
        <v>73</v>
      </c>
      <c r="U68" s="49" t="s">
        <v>75</v>
      </c>
      <c r="V68" s="49" t="s">
        <v>373</v>
      </c>
      <c r="W68" s="49" t="s">
        <v>374</v>
      </c>
      <c r="X68" s="49"/>
      <c r="Y68" s="49"/>
      <c r="Z68" s="49"/>
      <c r="AA68" s="49"/>
      <c r="AB68" s="51"/>
      <c r="AC68" s="49"/>
      <c r="AD68" s="49"/>
      <c r="AE68" s="49"/>
      <c r="AF68" s="6"/>
      <c r="AG68" s="49"/>
      <c r="AH68" s="49"/>
      <c r="AI68" s="49"/>
      <c r="AJ68" s="49"/>
      <c r="AK68" s="49"/>
      <c r="AL68" s="49"/>
      <c r="AM68" s="49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14">
        <v>45657.0</v>
      </c>
      <c r="BG68" s="7" t="s">
        <v>73</v>
      </c>
      <c r="BH68" s="7"/>
      <c r="BI68" s="15">
        <f t="shared" si="1"/>
        <v>80</v>
      </c>
      <c r="BJ68" s="15" t="str">
        <f t="shared" si="2"/>
        <v>&gt;55</v>
      </c>
      <c r="BK68" s="15"/>
      <c r="BL68" s="7"/>
      <c r="BM68" s="7"/>
      <c r="BN68" s="49"/>
    </row>
    <row r="69" ht="15.75" customHeight="1">
      <c r="A69" s="1">
        <v>79.0</v>
      </c>
      <c r="B69" s="2">
        <v>75.0</v>
      </c>
      <c r="C69" s="32">
        <v>44872.73641549768</v>
      </c>
      <c r="D69" s="33" t="s">
        <v>375</v>
      </c>
      <c r="E69" s="34">
        <v>23429.0</v>
      </c>
      <c r="F69" s="33" t="s">
        <v>67</v>
      </c>
      <c r="G69" s="33" t="s">
        <v>376</v>
      </c>
      <c r="H69" s="33">
        <v>1.131126793E9</v>
      </c>
      <c r="I69" s="33" t="s">
        <v>92</v>
      </c>
      <c r="J69" s="33" t="s">
        <v>85</v>
      </c>
      <c r="K69" s="33" t="s">
        <v>86</v>
      </c>
      <c r="L69" s="33">
        <v>61.0</v>
      </c>
      <c r="M69" s="33" t="s">
        <v>377</v>
      </c>
      <c r="N69" s="33" t="s">
        <v>75</v>
      </c>
      <c r="O69" s="33"/>
      <c r="P69" s="33" t="s">
        <v>329</v>
      </c>
      <c r="Q69" s="33"/>
      <c r="R69" s="33" t="s">
        <v>73</v>
      </c>
      <c r="S69" s="33" t="s">
        <v>73</v>
      </c>
      <c r="T69" s="33" t="s">
        <v>73</v>
      </c>
      <c r="U69" s="33" t="s">
        <v>73</v>
      </c>
      <c r="V69" s="33"/>
      <c r="W69" s="33"/>
      <c r="X69" s="33"/>
      <c r="Y69" s="33"/>
      <c r="Z69" s="33"/>
      <c r="AA69" s="33"/>
      <c r="AB69" s="35"/>
      <c r="AC69" s="33"/>
      <c r="AD69" s="33"/>
      <c r="AE69" s="33"/>
      <c r="AF69" s="6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14">
        <v>45657.0</v>
      </c>
      <c r="BG69" s="7" t="s">
        <v>73</v>
      </c>
      <c r="BH69" s="7"/>
      <c r="BI69" s="15">
        <f t="shared" si="1"/>
        <v>60</v>
      </c>
      <c r="BJ69" s="15" t="str">
        <f t="shared" si="2"/>
        <v>&gt;55</v>
      </c>
      <c r="BK69" s="15"/>
      <c r="BL69" s="7"/>
      <c r="BM69" s="7"/>
      <c r="BN69" s="33"/>
    </row>
    <row r="70" ht="15.75" customHeight="1">
      <c r="A70" s="1">
        <v>80.0</v>
      </c>
      <c r="B70" s="2">
        <v>76.0</v>
      </c>
      <c r="C70" s="32">
        <v>44872.74042030092</v>
      </c>
      <c r="D70" s="33" t="s">
        <v>378</v>
      </c>
      <c r="E70" s="34">
        <v>23321.0</v>
      </c>
      <c r="F70" s="33" t="s">
        <v>67</v>
      </c>
      <c r="G70" s="33" t="s">
        <v>379</v>
      </c>
      <c r="H70" s="33">
        <v>5.41140824513E11</v>
      </c>
      <c r="I70" s="33" t="s">
        <v>92</v>
      </c>
      <c r="J70" s="33" t="s">
        <v>146</v>
      </c>
      <c r="K70" s="33" t="s">
        <v>86</v>
      </c>
      <c r="L70" s="33">
        <v>68.0</v>
      </c>
      <c r="M70" s="33" t="s">
        <v>241</v>
      </c>
      <c r="N70" s="33" t="s">
        <v>75</v>
      </c>
      <c r="O70" s="33" t="s">
        <v>380</v>
      </c>
      <c r="P70" s="33" t="s">
        <v>329</v>
      </c>
      <c r="Q70" s="33"/>
      <c r="R70" s="33" t="s">
        <v>73</v>
      </c>
      <c r="S70" s="33" t="s">
        <v>73</v>
      </c>
      <c r="T70" s="33" t="s">
        <v>73</v>
      </c>
      <c r="U70" s="33" t="s">
        <v>73</v>
      </c>
      <c r="V70" s="33"/>
      <c r="W70" s="33"/>
      <c r="X70" s="33"/>
      <c r="Y70" s="33"/>
      <c r="Z70" s="33"/>
      <c r="AA70" s="33"/>
      <c r="AB70" s="35"/>
      <c r="AC70" s="33"/>
      <c r="AD70" s="33"/>
      <c r="AE70" s="33"/>
      <c r="AF70" s="6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14">
        <v>45657.0</v>
      </c>
      <c r="BG70" s="7" t="s">
        <v>73</v>
      </c>
      <c r="BH70" s="7"/>
      <c r="BI70" s="15">
        <f t="shared" si="1"/>
        <v>61</v>
      </c>
      <c r="BJ70" s="15" t="str">
        <f t="shared" si="2"/>
        <v>&gt;55</v>
      </c>
      <c r="BK70" s="15"/>
      <c r="BL70" s="7"/>
      <c r="BM70" s="7"/>
      <c r="BN70" s="33"/>
    </row>
    <row r="71" ht="15.75" customHeight="1">
      <c r="A71" s="1">
        <v>81.0</v>
      </c>
      <c r="B71" s="2">
        <v>78.0</v>
      </c>
      <c r="C71" s="9">
        <v>44872.84336712963</v>
      </c>
      <c r="D71" s="10" t="s">
        <v>381</v>
      </c>
      <c r="E71" s="11">
        <v>26588.0</v>
      </c>
      <c r="F71" s="10" t="s">
        <v>67</v>
      </c>
      <c r="G71" s="10" t="s">
        <v>382</v>
      </c>
      <c r="H71" s="23" t="s">
        <v>383</v>
      </c>
      <c r="I71" s="10" t="s">
        <v>92</v>
      </c>
      <c r="J71" s="10" t="s">
        <v>70</v>
      </c>
      <c r="K71" s="10" t="s">
        <v>86</v>
      </c>
      <c r="L71" s="10">
        <v>50.0</v>
      </c>
      <c r="M71" s="10" t="s">
        <v>72</v>
      </c>
      <c r="N71" s="10" t="s">
        <v>73</v>
      </c>
      <c r="O71" s="10"/>
      <c r="P71" s="10" t="s">
        <v>74</v>
      </c>
      <c r="Q71" s="10"/>
      <c r="R71" s="10" t="s">
        <v>73</v>
      </c>
      <c r="S71" s="10" t="s">
        <v>73</v>
      </c>
      <c r="T71" s="10" t="s">
        <v>73</v>
      </c>
      <c r="U71" s="10" t="s">
        <v>73</v>
      </c>
      <c r="V71" s="10"/>
      <c r="W71" s="10"/>
      <c r="X71" s="10"/>
      <c r="Y71" s="10" t="s">
        <v>73</v>
      </c>
      <c r="Z71" s="10"/>
      <c r="AA71" s="10" t="s">
        <v>73</v>
      </c>
      <c r="AB71" s="12"/>
      <c r="AC71" s="10" t="s">
        <v>77</v>
      </c>
      <c r="AD71" s="10" t="s">
        <v>78</v>
      </c>
      <c r="AE71" s="13" t="s">
        <v>138</v>
      </c>
      <c r="AF71" s="6" t="s">
        <v>80</v>
      </c>
      <c r="AG71" s="10" t="s">
        <v>81</v>
      </c>
      <c r="AH71" s="10" t="s">
        <v>77</v>
      </c>
      <c r="AI71" s="21" t="s">
        <v>384</v>
      </c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4">
        <v>44927.0</v>
      </c>
      <c r="BG71" s="7" t="s">
        <v>75</v>
      </c>
      <c r="BH71" s="7" t="s">
        <v>385</v>
      </c>
      <c r="BI71" s="15">
        <f t="shared" si="1"/>
        <v>51</v>
      </c>
      <c r="BJ71" s="15" t="str">
        <f t="shared" si="2"/>
        <v>35-55</v>
      </c>
      <c r="BK71" s="15"/>
      <c r="BL71" s="7"/>
      <c r="BM71" s="7"/>
      <c r="BN71" s="10" t="s">
        <v>80</v>
      </c>
    </row>
    <row r="72" ht="15.75" customHeight="1">
      <c r="A72" s="1">
        <v>82.0</v>
      </c>
      <c r="B72" s="2">
        <v>79.0</v>
      </c>
      <c r="C72" s="9">
        <v>44872.84434577546</v>
      </c>
      <c r="D72" s="10" t="s">
        <v>386</v>
      </c>
      <c r="E72" s="11">
        <v>26285.0</v>
      </c>
      <c r="F72" s="10" t="s">
        <v>106</v>
      </c>
      <c r="G72" s="10" t="s">
        <v>387</v>
      </c>
      <c r="H72" s="23" t="s">
        <v>388</v>
      </c>
      <c r="I72" s="10" t="s">
        <v>92</v>
      </c>
      <c r="J72" s="10" t="s">
        <v>85</v>
      </c>
      <c r="K72" s="10" t="s">
        <v>86</v>
      </c>
      <c r="L72" s="10">
        <v>70.0</v>
      </c>
      <c r="M72" s="10" t="s">
        <v>389</v>
      </c>
      <c r="N72" s="10" t="s">
        <v>73</v>
      </c>
      <c r="O72" s="10"/>
      <c r="P72" s="10" t="s">
        <v>74</v>
      </c>
      <c r="Q72" s="10"/>
      <c r="R72" s="10" t="s">
        <v>73</v>
      </c>
      <c r="S72" s="10" t="s">
        <v>73</v>
      </c>
      <c r="T72" s="10" t="s">
        <v>73</v>
      </c>
      <c r="U72" s="10" t="s">
        <v>73</v>
      </c>
      <c r="V72" s="10"/>
      <c r="W72" s="10"/>
      <c r="X72" s="10"/>
      <c r="Y72" s="10" t="s">
        <v>73</v>
      </c>
      <c r="Z72" s="10"/>
      <c r="AA72" s="10" t="s">
        <v>73</v>
      </c>
      <c r="AB72" s="12"/>
      <c r="AC72" s="10" t="s">
        <v>82</v>
      </c>
      <c r="AD72" s="10" t="s">
        <v>78</v>
      </c>
      <c r="AE72" s="13" t="s">
        <v>138</v>
      </c>
      <c r="AF72" s="6" t="s">
        <v>187</v>
      </c>
      <c r="AG72" s="10" t="s">
        <v>82</v>
      </c>
      <c r="AH72" s="10" t="s">
        <v>82</v>
      </c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4">
        <v>44927.0</v>
      </c>
      <c r="BG72" s="7" t="s">
        <v>75</v>
      </c>
      <c r="BH72" s="7" t="s">
        <v>385</v>
      </c>
      <c r="BI72" s="15">
        <f t="shared" si="1"/>
        <v>52</v>
      </c>
      <c r="BJ72" s="15" t="str">
        <f t="shared" si="2"/>
        <v>35-55</v>
      </c>
      <c r="BK72" s="15" t="s">
        <v>75</v>
      </c>
      <c r="BL72" s="15" t="s">
        <v>75</v>
      </c>
      <c r="BM72" s="16">
        <v>45596.0</v>
      </c>
      <c r="BN72" s="10" t="s">
        <v>187</v>
      </c>
    </row>
    <row r="73" ht="15.75" customHeight="1">
      <c r="A73" s="1">
        <v>83.0</v>
      </c>
      <c r="B73" s="2">
        <v>80.0</v>
      </c>
      <c r="C73" s="52">
        <v>44872.930597708335</v>
      </c>
      <c r="D73" s="53" t="s">
        <v>390</v>
      </c>
      <c r="E73" s="54">
        <v>34488.0</v>
      </c>
      <c r="F73" s="53" t="s">
        <v>106</v>
      </c>
      <c r="G73" s="53" t="s">
        <v>391</v>
      </c>
      <c r="H73" s="53">
        <v>3.482334007E9</v>
      </c>
      <c r="I73" s="53" t="s">
        <v>92</v>
      </c>
      <c r="J73" s="53" t="s">
        <v>85</v>
      </c>
      <c r="K73" s="53" t="s">
        <v>71</v>
      </c>
      <c r="L73" s="53">
        <v>73.0</v>
      </c>
      <c r="M73" s="53" t="s">
        <v>392</v>
      </c>
      <c r="N73" s="53" t="s">
        <v>75</v>
      </c>
      <c r="O73" s="53" t="s">
        <v>393</v>
      </c>
      <c r="P73" s="53" t="s">
        <v>358</v>
      </c>
      <c r="Q73" s="53"/>
      <c r="R73" s="53" t="s">
        <v>73</v>
      </c>
      <c r="S73" s="53" t="s">
        <v>73</v>
      </c>
      <c r="T73" s="53" t="s">
        <v>73</v>
      </c>
      <c r="U73" s="53" t="s">
        <v>75</v>
      </c>
      <c r="V73" s="53" t="s">
        <v>394</v>
      </c>
      <c r="W73" s="53" t="s">
        <v>395</v>
      </c>
      <c r="X73" s="53"/>
      <c r="Y73" s="53"/>
      <c r="Z73" s="53"/>
      <c r="AA73" s="53"/>
      <c r="AB73" s="55"/>
      <c r="AC73" s="53"/>
      <c r="AD73" s="53"/>
      <c r="AE73" s="53"/>
      <c r="AF73" s="6"/>
      <c r="AG73" s="53"/>
      <c r="AH73" s="53"/>
      <c r="AI73" s="53"/>
      <c r="AJ73" s="53"/>
      <c r="AK73" s="53"/>
      <c r="AL73" s="53"/>
      <c r="AM73" s="53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14">
        <v>45657.0</v>
      </c>
      <c r="BG73" s="7" t="s">
        <v>73</v>
      </c>
      <c r="BH73" s="7"/>
      <c r="BI73" s="15">
        <f t="shared" si="1"/>
        <v>30</v>
      </c>
      <c r="BJ73" s="15" t="str">
        <f t="shared" si="2"/>
        <v>18-35</v>
      </c>
      <c r="BK73" s="15"/>
      <c r="BL73" s="7"/>
      <c r="BM73" s="7"/>
      <c r="BN73" s="53"/>
    </row>
    <row r="74" ht="15.75" customHeight="1">
      <c r="A74" s="1">
        <v>84.0</v>
      </c>
      <c r="B74" s="2">
        <v>81.0</v>
      </c>
      <c r="C74" s="17">
        <v>44873.01284357639</v>
      </c>
      <c r="D74" s="18" t="s">
        <v>396</v>
      </c>
      <c r="E74" s="19">
        <v>23560.0</v>
      </c>
      <c r="F74" s="18" t="s">
        <v>67</v>
      </c>
      <c r="G74" s="18" t="s">
        <v>397</v>
      </c>
      <c r="H74" s="18">
        <v>1.144080915E9</v>
      </c>
      <c r="I74" s="18" t="s">
        <v>69</v>
      </c>
      <c r="J74" s="18" t="s">
        <v>70</v>
      </c>
      <c r="K74" s="18" t="s">
        <v>86</v>
      </c>
      <c r="L74" s="18">
        <v>62.0</v>
      </c>
      <c r="M74" s="18" t="s">
        <v>260</v>
      </c>
      <c r="N74" s="18" t="s">
        <v>75</v>
      </c>
      <c r="O74" s="18" t="s">
        <v>398</v>
      </c>
      <c r="P74" s="18" t="s">
        <v>74</v>
      </c>
      <c r="Q74" s="18"/>
      <c r="R74" s="18" t="s">
        <v>73</v>
      </c>
      <c r="S74" s="18" t="s">
        <v>73</v>
      </c>
      <c r="T74" s="18" t="s">
        <v>73</v>
      </c>
      <c r="U74" s="18" t="s">
        <v>75</v>
      </c>
      <c r="V74" s="18" t="s">
        <v>399</v>
      </c>
      <c r="W74" s="18" t="s">
        <v>400</v>
      </c>
      <c r="X74" s="18"/>
      <c r="Y74" s="18"/>
      <c r="Z74" s="18"/>
      <c r="AA74" s="18"/>
      <c r="AB74" s="20"/>
      <c r="AC74" s="18"/>
      <c r="AD74" s="18"/>
      <c r="AE74" s="18"/>
      <c r="AF74" s="6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4">
        <v>45657.0</v>
      </c>
      <c r="BG74" s="7" t="s">
        <v>73</v>
      </c>
      <c r="BH74" s="7"/>
      <c r="BI74" s="15">
        <f t="shared" si="1"/>
        <v>60</v>
      </c>
      <c r="BJ74" s="15" t="str">
        <f t="shared" si="2"/>
        <v>&gt;55</v>
      </c>
      <c r="BK74" s="15"/>
      <c r="BL74" s="7"/>
      <c r="BM74" s="7"/>
      <c r="BN74" s="18"/>
    </row>
    <row r="75" ht="15.75" customHeight="1">
      <c r="A75" s="1">
        <v>85.0</v>
      </c>
      <c r="B75" s="2">
        <v>82.0</v>
      </c>
      <c r="C75" s="32">
        <v>44873.156048993056</v>
      </c>
      <c r="D75" s="33" t="s">
        <v>401</v>
      </c>
      <c r="E75" s="34">
        <v>21084.0</v>
      </c>
      <c r="F75" s="33" t="s">
        <v>67</v>
      </c>
      <c r="G75" s="33" t="s">
        <v>402</v>
      </c>
      <c r="H75" s="33">
        <v>1.161715444E9</v>
      </c>
      <c r="I75" s="33" t="s">
        <v>69</v>
      </c>
      <c r="J75" s="33" t="s">
        <v>70</v>
      </c>
      <c r="K75" s="33" t="s">
        <v>71</v>
      </c>
      <c r="L75" s="33">
        <v>57.0</v>
      </c>
      <c r="M75" s="33" t="s">
        <v>87</v>
      </c>
      <c r="N75" s="33" t="s">
        <v>75</v>
      </c>
      <c r="O75" s="33" t="s">
        <v>403</v>
      </c>
      <c r="P75" s="33" t="s">
        <v>329</v>
      </c>
      <c r="Q75" s="33"/>
      <c r="R75" s="33" t="s">
        <v>75</v>
      </c>
      <c r="S75" s="33" t="s">
        <v>73</v>
      </c>
      <c r="T75" s="33" t="s">
        <v>73</v>
      </c>
      <c r="U75" s="33" t="s">
        <v>73</v>
      </c>
      <c r="V75" s="33"/>
      <c r="W75" s="33"/>
      <c r="X75" s="33"/>
      <c r="Y75" s="33"/>
      <c r="Z75" s="33"/>
      <c r="AA75" s="33"/>
      <c r="AB75" s="35"/>
      <c r="AC75" s="33"/>
      <c r="AD75" s="33"/>
      <c r="AE75" s="33"/>
      <c r="AF75" s="6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14">
        <v>45657.0</v>
      </c>
      <c r="BG75" s="7" t="s">
        <v>73</v>
      </c>
      <c r="BH75" s="7"/>
      <c r="BI75" s="15">
        <f t="shared" si="1"/>
        <v>67</v>
      </c>
      <c r="BJ75" s="15" t="str">
        <f t="shared" si="2"/>
        <v>&gt;55</v>
      </c>
      <c r="BK75" s="15"/>
      <c r="BL75" s="7"/>
      <c r="BM75" s="7"/>
      <c r="BN75" s="33"/>
    </row>
    <row r="76" ht="15.75" customHeight="1">
      <c r="A76" s="1">
        <v>86.0</v>
      </c>
      <c r="B76" s="2">
        <v>83.0</v>
      </c>
      <c r="C76" s="37">
        <v>44874.41130638889</v>
      </c>
      <c r="D76" s="38" t="s">
        <v>404</v>
      </c>
      <c r="E76" s="39">
        <v>18452.0</v>
      </c>
      <c r="F76" s="38" t="s">
        <v>106</v>
      </c>
      <c r="G76" s="38" t="s">
        <v>405</v>
      </c>
      <c r="H76" s="38">
        <v>5.491154797368E12</v>
      </c>
      <c r="I76" s="38" t="s">
        <v>176</v>
      </c>
      <c r="J76" s="38" t="s">
        <v>85</v>
      </c>
      <c r="K76" s="38" t="s">
        <v>166</v>
      </c>
      <c r="L76" s="38">
        <v>102.0</v>
      </c>
      <c r="M76" s="38">
        <v>1.79</v>
      </c>
      <c r="N76" s="38" t="s">
        <v>73</v>
      </c>
      <c r="O76" s="38"/>
      <c r="P76" s="38" t="s">
        <v>406</v>
      </c>
      <c r="Q76" s="38"/>
      <c r="R76" s="38" t="s">
        <v>73</v>
      </c>
      <c r="S76" s="38" t="s">
        <v>73</v>
      </c>
      <c r="T76" s="38" t="s">
        <v>73</v>
      </c>
      <c r="U76" s="38" t="s">
        <v>75</v>
      </c>
      <c r="V76" s="38" t="s">
        <v>407</v>
      </c>
      <c r="W76" s="38" t="s">
        <v>408</v>
      </c>
      <c r="X76" s="38"/>
      <c r="Y76" s="38"/>
      <c r="Z76" s="38"/>
      <c r="AA76" s="38"/>
      <c r="AB76" s="40"/>
      <c r="AC76" s="38"/>
      <c r="AD76" s="38"/>
      <c r="AE76" s="38"/>
      <c r="AF76" s="6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14">
        <v>45657.0</v>
      </c>
      <c r="BG76" s="7" t="s">
        <v>73</v>
      </c>
      <c r="BH76" s="7"/>
      <c r="BI76" s="15">
        <f t="shared" si="1"/>
        <v>74</v>
      </c>
      <c r="BJ76" s="15" t="str">
        <f t="shared" si="2"/>
        <v>&gt;55</v>
      </c>
      <c r="BK76" s="15"/>
      <c r="BL76" s="7"/>
      <c r="BM76" s="7"/>
      <c r="BN76" s="38"/>
    </row>
    <row r="77" ht="15.75" customHeight="1">
      <c r="A77" s="1">
        <v>87.0</v>
      </c>
      <c r="B77" s="2">
        <v>86.0</v>
      </c>
      <c r="C77" s="9">
        <v>44875.85875103009</v>
      </c>
      <c r="D77" s="10" t="s">
        <v>409</v>
      </c>
      <c r="E77" s="11">
        <v>29564.0</v>
      </c>
      <c r="F77" s="10" t="s">
        <v>67</v>
      </c>
      <c r="G77" s="10" t="s">
        <v>410</v>
      </c>
      <c r="H77" s="10">
        <v>1.557020487E9</v>
      </c>
      <c r="I77" s="10" t="s">
        <v>92</v>
      </c>
      <c r="J77" s="10" t="s">
        <v>85</v>
      </c>
      <c r="K77" s="10" t="s">
        <v>86</v>
      </c>
      <c r="L77" s="10">
        <v>65.0</v>
      </c>
      <c r="M77" s="10" t="s">
        <v>181</v>
      </c>
      <c r="N77" s="10" t="s">
        <v>75</v>
      </c>
      <c r="O77" s="10" t="s">
        <v>411</v>
      </c>
      <c r="P77" s="10" t="s">
        <v>74</v>
      </c>
      <c r="Q77" s="10"/>
      <c r="R77" s="10" t="s">
        <v>73</v>
      </c>
      <c r="S77" s="10" t="s">
        <v>73</v>
      </c>
      <c r="T77" s="10" t="s">
        <v>73</v>
      </c>
      <c r="U77" s="10" t="s">
        <v>75</v>
      </c>
      <c r="V77" s="10" t="s">
        <v>412</v>
      </c>
      <c r="W77" s="10" t="s">
        <v>413</v>
      </c>
      <c r="X77" s="10"/>
      <c r="Y77" s="10" t="s">
        <v>73</v>
      </c>
      <c r="Z77" s="10"/>
      <c r="AA77" s="10" t="s">
        <v>75</v>
      </c>
      <c r="AB77" s="12" t="s">
        <v>76</v>
      </c>
      <c r="AC77" s="10" t="s">
        <v>82</v>
      </c>
      <c r="AD77" s="10" t="s">
        <v>94</v>
      </c>
      <c r="AE77" s="13" t="s">
        <v>131</v>
      </c>
      <c r="AF77" s="6"/>
      <c r="AG77" s="10" t="s">
        <v>95</v>
      </c>
      <c r="AH77" s="10" t="s">
        <v>102</v>
      </c>
      <c r="AI77" s="21" t="s">
        <v>414</v>
      </c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4">
        <v>44895.0</v>
      </c>
      <c r="BG77" s="7" t="s">
        <v>75</v>
      </c>
      <c r="BH77" s="7" t="s">
        <v>1</v>
      </c>
      <c r="BI77" s="15">
        <f t="shared" si="1"/>
        <v>42</v>
      </c>
      <c r="BJ77" s="15" t="str">
        <f t="shared" si="2"/>
        <v>35-55</v>
      </c>
      <c r="BK77" s="15" t="s">
        <v>75</v>
      </c>
      <c r="BL77" s="15" t="s">
        <v>75</v>
      </c>
      <c r="BM77" s="16">
        <v>45596.0</v>
      </c>
      <c r="BN77" s="10"/>
    </row>
    <row r="78" ht="15.75" customHeight="1">
      <c r="A78" s="1">
        <v>88.0</v>
      </c>
      <c r="B78" s="2">
        <v>87.0</v>
      </c>
      <c r="C78" s="32">
        <v>44876.492283796295</v>
      </c>
      <c r="D78" s="33" t="s">
        <v>415</v>
      </c>
      <c r="E78" s="34">
        <v>28875.0</v>
      </c>
      <c r="F78" s="33" t="s">
        <v>106</v>
      </c>
      <c r="G78" s="33" t="s">
        <v>416</v>
      </c>
      <c r="H78" s="33">
        <v>1.137554295E9</v>
      </c>
      <c r="I78" s="33" t="s">
        <v>221</v>
      </c>
      <c r="J78" s="33" t="s">
        <v>85</v>
      </c>
      <c r="K78" s="33" t="s">
        <v>86</v>
      </c>
      <c r="L78" s="33">
        <v>115.0</v>
      </c>
      <c r="M78" s="33" t="s">
        <v>110</v>
      </c>
      <c r="N78" s="33" t="s">
        <v>75</v>
      </c>
      <c r="O78" s="33" t="s">
        <v>182</v>
      </c>
      <c r="P78" s="33" t="s">
        <v>329</v>
      </c>
      <c r="Q78" s="33"/>
      <c r="R78" s="33" t="s">
        <v>73</v>
      </c>
      <c r="S78" s="33" t="s">
        <v>73</v>
      </c>
      <c r="T78" s="33" t="s">
        <v>73</v>
      </c>
      <c r="U78" s="33" t="s">
        <v>73</v>
      </c>
      <c r="V78" s="33"/>
      <c r="W78" s="33"/>
      <c r="X78" s="33"/>
      <c r="Y78" s="33"/>
      <c r="Z78" s="33"/>
      <c r="AA78" s="33"/>
      <c r="AB78" s="35"/>
      <c r="AC78" s="33"/>
      <c r="AD78" s="33"/>
      <c r="AE78" s="33"/>
      <c r="AF78" s="6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14">
        <v>45657.0</v>
      </c>
      <c r="BG78" s="7" t="s">
        <v>73</v>
      </c>
      <c r="BH78" s="7"/>
      <c r="BI78" s="15">
        <f t="shared" si="1"/>
        <v>45</v>
      </c>
      <c r="BJ78" s="15" t="str">
        <f t="shared" si="2"/>
        <v>35-55</v>
      </c>
      <c r="BK78" s="15"/>
      <c r="BL78" s="7"/>
      <c r="BM78" s="7"/>
      <c r="BN78" s="33"/>
    </row>
    <row r="79" ht="15.75" customHeight="1">
      <c r="A79" s="1">
        <v>89.0</v>
      </c>
      <c r="B79" s="2">
        <v>88.0</v>
      </c>
      <c r="C79" s="37">
        <v>44876.541018275464</v>
      </c>
      <c r="D79" s="38" t="s">
        <v>417</v>
      </c>
      <c r="E79" s="39">
        <v>26933.0</v>
      </c>
      <c r="F79" s="38" t="s">
        <v>67</v>
      </c>
      <c r="G79" s="38" t="s">
        <v>418</v>
      </c>
      <c r="H79" s="38">
        <v>1.158631976E9</v>
      </c>
      <c r="I79" s="38" t="s">
        <v>92</v>
      </c>
      <c r="J79" s="38" t="s">
        <v>85</v>
      </c>
      <c r="K79" s="38" t="s">
        <v>166</v>
      </c>
      <c r="L79" s="38">
        <v>65.0</v>
      </c>
      <c r="M79" s="38" t="s">
        <v>419</v>
      </c>
      <c r="N79" s="38" t="s">
        <v>73</v>
      </c>
      <c r="O79" s="38"/>
      <c r="P79" s="38" t="s">
        <v>370</v>
      </c>
      <c r="Q79" s="38"/>
      <c r="R79" s="38" t="s">
        <v>73</v>
      </c>
      <c r="S79" s="38" t="s">
        <v>73</v>
      </c>
      <c r="T79" s="38" t="s">
        <v>73</v>
      </c>
      <c r="U79" s="38" t="s">
        <v>73</v>
      </c>
      <c r="V79" s="38"/>
      <c r="W79" s="38"/>
      <c r="X79" s="38"/>
      <c r="Y79" s="38"/>
      <c r="Z79" s="38"/>
      <c r="AA79" s="38"/>
      <c r="AB79" s="40"/>
      <c r="AC79" s="38"/>
      <c r="AD79" s="38"/>
      <c r="AE79" s="38"/>
      <c r="AF79" s="6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14">
        <v>45657.0</v>
      </c>
      <c r="BG79" s="7" t="s">
        <v>73</v>
      </c>
      <c r="BH79" s="7"/>
      <c r="BI79" s="15">
        <f t="shared" si="1"/>
        <v>51</v>
      </c>
      <c r="BJ79" s="15" t="str">
        <f t="shared" si="2"/>
        <v>35-55</v>
      </c>
      <c r="BK79" s="15"/>
      <c r="BL79" s="7"/>
      <c r="BM79" s="7"/>
      <c r="BN79" s="38"/>
    </row>
    <row r="80" ht="15.75" customHeight="1">
      <c r="A80" s="1">
        <v>90.0</v>
      </c>
      <c r="B80" s="2">
        <v>89.0</v>
      </c>
      <c r="C80" s="37">
        <v>44877.623954930554</v>
      </c>
      <c r="D80" s="38" t="s">
        <v>420</v>
      </c>
      <c r="E80" s="39">
        <v>20101.0</v>
      </c>
      <c r="F80" s="38" t="s">
        <v>67</v>
      </c>
      <c r="G80" s="38" t="s">
        <v>421</v>
      </c>
      <c r="H80" s="38">
        <v>1.13598947E9</v>
      </c>
      <c r="I80" s="38" t="s">
        <v>422</v>
      </c>
      <c r="J80" s="38" t="s">
        <v>109</v>
      </c>
      <c r="K80" s="38" t="s">
        <v>86</v>
      </c>
      <c r="L80" s="38">
        <v>58.0</v>
      </c>
      <c r="M80" s="38" t="s">
        <v>123</v>
      </c>
      <c r="N80" s="38" t="s">
        <v>73</v>
      </c>
      <c r="O80" s="38"/>
      <c r="P80" s="38" t="s">
        <v>423</v>
      </c>
      <c r="Q80" s="38"/>
      <c r="R80" s="38" t="s">
        <v>75</v>
      </c>
      <c r="S80" s="38" t="s">
        <v>73</v>
      </c>
      <c r="T80" s="38" t="s">
        <v>73</v>
      </c>
      <c r="U80" s="38" t="s">
        <v>75</v>
      </c>
      <c r="V80" s="38" t="s">
        <v>424</v>
      </c>
      <c r="W80" s="38" t="s">
        <v>425</v>
      </c>
      <c r="X80" s="38"/>
      <c r="Y80" s="38"/>
      <c r="Z80" s="38"/>
      <c r="AA80" s="38"/>
      <c r="AB80" s="40"/>
      <c r="AC80" s="38"/>
      <c r="AD80" s="38"/>
      <c r="AE80" s="38"/>
      <c r="AF80" s="6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14">
        <v>45657.0</v>
      </c>
      <c r="BG80" s="7" t="s">
        <v>73</v>
      </c>
      <c r="BH80" s="7"/>
      <c r="BI80" s="15">
        <f t="shared" si="1"/>
        <v>69</v>
      </c>
      <c r="BJ80" s="15" t="str">
        <f t="shared" si="2"/>
        <v>&gt;55</v>
      </c>
      <c r="BK80" s="15"/>
      <c r="BL80" s="7"/>
      <c r="BM80" s="7"/>
      <c r="BN80" s="38"/>
    </row>
    <row r="81" ht="15.75" customHeight="1">
      <c r="A81" s="1">
        <v>92.0</v>
      </c>
      <c r="B81" s="2">
        <v>90.0</v>
      </c>
      <c r="C81" s="9">
        <v>44882.441482291666</v>
      </c>
      <c r="D81" s="10" t="s">
        <v>426</v>
      </c>
      <c r="E81" s="11">
        <v>18372.0</v>
      </c>
      <c r="F81" s="10" t="s">
        <v>67</v>
      </c>
      <c r="G81" s="10" t="s">
        <v>427</v>
      </c>
      <c r="H81" s="10">
        <v>1.162016292E9</v>
      </c>
      <c r="I81" s="10" t="s">
        <v>221</v>
      </c>
      <c r="J81" s="10" t="s">
        <v>85</v>
      </c>
      <c r="K81" s="10" t="s">
        <v>86</v>
      </c>
      <c r="L81" s="10">
        <v>62.0</v>
      </c>
      <c r="M81" s="10" t="s">
        <v>428</v>
      </c>
      <c r="N81" s="10" t="s">
        <v>73</v>
      </c>
      <c r="O81" s="10"/>
      <c r="P81" s="10" t="s">
        <v>74</v>
      </c>
      <c r="Q81" s="10" t="s">
        <v>429</v>
      </c>
      <c r="R81" s="10" t="s">
        <v>73</v>
      </c>
      <c r="S81" s="10" t="s">
        <v>73</v>
      </c>
      <c r="T81" s="10" t="s">
        <v>73</v>
      </c>
      <c r="U81" s="10" t="s">
        <v>75</v>
      </c>
      <c r="V81" s="10" t="s">
        <v>430</v>
      </c>
      <c r="W81" s="10" t="s">
        <v>431</v>
      </c>
      <c r="X81" s="10"/>
      <c r="Y81" s="10" t="s">
        <v>73</v>
      </c>
      <c r="Z81" s="10"/>
      <c r="AA81" s="10" t="s">
        <v>75</v>
      </c>
      <c r="AB81" s="12" t="s">
        <v>76</v>
      </c>
      <c r="AC81" s="10" t="s">
        <v>77</v>
      </c>
      <c r="AD81" s="10" t="s">
        <v>94</v>
      </c>
      <c r="AE81" s="13" t="s">
        <v>131</v>
      </c>
      <c r="AF81" s="6"/>
      <c r="AG81" s="10" t="s">
        <v>95</v>
      </c>
      <c r="AH81" s="10" t="s">
        <v>77</v>
      </c>
      <c r="AI81" s="21" t="s">
        <v>432</v>
      </c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4">
        <v>44895.0</v>
      </c>
      <c r="BG81" s="7" t="s">
        <v>75</v>
      </c>
      <c r="BH81" s="7" t="s">
        <v>1</v>
      </c>
      <c r="BI81" s="15">
        <f t="shared" si="1"/>
        <v>72</v>
      </c>
      <c r="BJ81" s="15" t="str">
        <f t="shared" si="2"/>
        <v>&gt;55</v>
      </c>
      <c r="BK81" s="15" t="s">
        <v>75</v>
      </c>
      <c r="BL81" s="15" t="s">
        <v>75</v>
      </c>
      <c r="BM81" s="16">
        <v>45596.0</v>
      </c>
      <c r="BN81" s="10"/>
    </row>
    <row r="82" ht="15.75" customHeight="1">
      <c r="A82" s="1">
        <v>95.0</v>
      </c>
      <c r="B82" s="2">
        <v>91.0</v>
      </c>
      <c r="C82" s="28">
        <v>44909.82218336806</v>
      </c>
      <c r="D82" s="29" t="s">
        <v>433</v>
      </c>
      <c r="E82" s="30">
        <v>29418.0</v>
      </c>
      <c r="F82" s="29" t="s">
        <v>67</v>
      </c>
      <c r="G82" s="29" t="s">
        <v>434</v>
      </c>
      <c r="H82" s="29">
        <v>1.164061904E9</v>
      </c>
      <c r="I82" s="29" t="s">
        <v>92</v>
      </c>
      <c r="J82" s="29" t="s">
        <v>85</v>
      </c>
      <c r="K82" s="29" t="s">
        <v>86</v>
      </c>
      <c r="L82" s="29">
        <v>46.0</v>
      </c>
      <c r="M82" s="29" t="s">
        <v>419</v>
      </c>
      <c r="N82" s="29" t="s">
        <v>73</v>
      </c>
      <c r="O82" s="29"/>
      <c r="P82" s="29" t="s">
        <v>178</v>
      </c>
      <c r="Q82" s="29"/>
      <c r="R82" s="29" t="s">
        <v>75</v>
      </c>
      <c r="S82" s="29" t="s">
        <v>73</v>
      </c>
      <c r="T82" s="29" t="s">
        <v>73</v>
      </c>
      <c r="U82" s="29" t="s">
        <v>73</v>
      </c>
      <c r="V82" s="29"/>
      <c r="W82" s="29"/>
      <c r="X82" s="29"/>
      <c r="Y82" s="29"/>
      <c r="Z82" s="29"/>
      <c r="AA82" s="29"/>
      <c r="AB82" s="31"/>
      <c r="AC82" s="29"/>
      <c r="AD82" s="29"/>
      <c r="AE82" s="29"/>
      <c r="AF82" s="6"/>
      <c r="AG82" s="29"/>
      <c r="AH82" s="29"/>
      <c r="AI82" s="29"/>
      <c r="AJ82" s="29"/>
      <c r="AK82" s="29"/>
      <c r="AL82" s="29"/>
      <c r="AM82" s="29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  <c r="BD82" s="56"/>
      <c r="BE82" s="56"/>
      <c r="BF82" s="14">
        <v>45657.0</v>
      </c>
      <c r="BG82" s="7" t="s">
        <v>73</v>
      </c>
      <c r="BH82" s="7"/>
      <c r="BI82" s="15">
        <f t="shared" si="1"/>
        <v>44</v>
      </c>
      <c r="BJ82" s="15" t="str">
        <f t="shared" si="2"/>
        <v>35-55</v>
      </c>
      <c r="BK82" s="15"/>
      <c r="BL82" s="7"/>
      <c r="BM82" s="7"/>
      <c r="BN82" s="29"/>
    </row>
    <row r="83" ht="15.75" customHeight="1">
      <c r="A83" s="1">
        <v>97.0</v>
      </c>
      <c r="B83" s="2">
        <v>92.0</v>
      </c>
      <c r="C83" s="17">
        <v>44910.75632059028</v>
      </c>
      <c r="D83" s="18" t="s">
        <v>435</v>
      </c>
      <c r="E83" s="19">
        <v>24411.0</v>
      </c>
      <c r="F83" s="18" t="s">
        <v>67</v>
      </c>
      <c r="G83" s="18" t="s">
        <v>436</v>
      </c>
      <c r="H83" s="18">
        <v>1.532695832E9</v>
      </c>
      <c r="I83" s="18" t="s">
        <v>92</v>
      </c>
      <c r="J83" s="18" t="s">
        <v>70</v>
      </c>
      <c r="K83" s="18" t="s">
        <v>71</v>
      </c>
      <c r="L83" s="18">
        <v>67.0</v>
      </c>
      <c r="M83" s="18" t="s">
        <v>194</v>
      </c>
      <c r="N83" s="18" t="s">
        <v>75</v>
      </c>
      <c r="O83" s="18" t="s">
        <v>437</v>
      </c>
      <c r="P83" s="18" t="s">
        <v>74</v>
      </c>
      <c r="Q83" s="18"/>
      <c r="R83" s="18" t="s">
        <v>73</v>
      </c>
      <c r="S83" s="18" t="s">
        <v>73</v>
      </c>
      <c r="T83" s="18" t="s">
        <v>73</v>
      </c>
      <c r="U83" s="18" t="s">
        <v>75</v>
      </c>
      <c r="V83" s="18" t="s">
        <v>438</v>
      </c>
      <c r="W83" s="18" t="s">
        <v>439</v>
      </c>
      <c r="X83" s="18"/>
      <c r="Y83" s="18"/>
      <c r="Z83" s="18"/>
      <c r="AA83" s="18"/>
      <c r="AB83" s="20"/>
      <c r="AC83" s="18"/>
      <c r="AD83" s="18"/>
      <c r="AE83" s="18"/>
      <c r="AF83" s="6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4">
        <v>45657.0</v>
      </c>
      <c r="BG83" s="7" t="s">
        <v>73</v>
      </c>
      <c r="BH83" s="7"/>
      <c r="BI83" s="15">
        <f t="shared" si="1"/>
        <v>58</v>
      </c>
      <c r="BJ83" s="15" t="str">
        <f t="shared" si="2"/>
        <v>&gt;55</v>
      </c>
      <c r="BK83" s="15"/>
      <c r="BL83" s="7"/>
      <c r="BM83" s="7"/>
      <c r="BN83" s="18"/>
    </row>
    <row r="84" ht="15.75" customHeight="1">
      <c r="A84" s="1" t="s">
        <v>137</v>
      </c>
      <c r="B84" s="2">
        <v>93.0</v>
      </c>
      <c r="C84" s="10" t="s">
        <v>440</v>
      </c>
      <c r="D84" s="10" t="s">
        <v>441</v>
      </c>
      <c r="E84" s="11">
        <v>25543.0</v>
      </c>
      <c r="F84" s="10" t="s">
        <v>106</v>
      </c>
      <c r="G84" s="10"/>
      <c r="H84" s="10" t="s">
        <v>137</v>
      </c>
      <c r="I84" s="10" t="s">
        <v>221</v>
      </c>
      <c r="J84" s="10" t="s">
        <v>442</v>
      </c>
      <c r="K84" s="10" t="s">
        <v>71</v>
      </c>
      <c r="L84" s="10">
        <v>71.0</v>
      </c>
      <c r="M84" s="10">
        <v>1.73</v>
      </c>
      <c r="N84" s="10" t="s">
        <v>75</v>
      </c>
      <c r="O84" s="10" t="s">
        <v>443</v>
      </c>
      <c r="P84" s="10" t="s">
        <v>74</v>
      </c>
      <c r="Q84" s="10"/>
      <c r="R84" s="10" t="s">
        <v>73</v>
      </c>
      <c r="S84" s="10" t="s">
        <v>73</v>
      </c>
      <c r="T84" s="10" t="s">
        <v>73</v>
      </c>
      <c r="U84" s="10" t="s">
        <v>75</v>
      </c>
      <c r="V84" s="10" t="s">
        <v>444</v>
      </c>
      <c r="W84" s="57" t="s">
        <v>445</v>
      </c>
      <c r="X84" s="10" t="s">
        <v>446</v>
      </c>
      <c r="Y84" s="10" t="s">
        <v>73</v>
      </c>
      <c r="Z84" s="10"/>
      <c r="AA84" s="10" t="s">
        <v>73</v>
      </c>
      <c r="AB84" s="12"/>
      <c r="AC84" s="10" t="s">
        <v>82</v>
      </c>
      <c r="AD84" s="10" t="s">
        <v>94</v>
      </c>
      <c r="AE84" s="13" t="s">
        <v>138</v>
      </c>
      <c r="AF84" s="6"/>
      <c r="AG84" s="10" t="s">
        <v>81</v>
      </c>
      <c r="AH84" s="10" t="s">
        <v>82</v>
      </c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4">
        <v>45291.0</v>
      </c>
      <c r="BG84" s="7" t="s">
        <v>75</v>
      </c>
      <c r="BH84" s="7" t="s">
        <v>1</v>
      </c>
      <c r="BI84" s="15">
        <f t="shared" si="1"/>
        <v>54</v>
      </c>
      <c r="BJ84" s="15" t="str">
        <f t="shared" si="2"/>
        <v>35-55</v>
      </c>
      <c r="BK84" s="15" t="s">
        <v>75</v>
      </c>
      <c r="BL84" s="15" t="s">
        <v>75</v>
      </c>
      <c r="BM84" s="18" t="s">
        <v>447</v>
      </c>
      <c r="BN84" s="10"/>
    </row>
    <row r="85" ht="15.75" customHeight="1">
      <c r="A85" s="1" t="s">
        <v>137</v>
      </c>
      <c r="B85" s="2">
        <v>94.0</v>
      </c>
      <c r="C85" s="9"/>
      <c r="D85" s="38" t="s">
        <v>448</v>
      </c>
      <c r="E85" s="11">
        <v>27893.0</v>
      </c>
      <c r="F85" s="10" t="s">
        <v>106</v>
      </c>
      <c r="G85" s="10"/>
      <c r="H85" s="10" t="s">
        <v>137</v>
      </c>
      <c r="I85" s="10" t="s">
        <v>449</v>
      </c>
      <c r="J85" s="10" t="s">
        <v>85</v>
      </c>
      <c r="K85" s="10"/>
      <c r="L85" s="10"/>
      <c r="M85" s="10"/>
      <c r="N85" s="10"/>
      <c r="O85" s="10"/>
      <c r="P85" s="10" t="s">
        <v>74</v>
      </c>
      <c r="Q85" s="10"/>
      <c r="R85" s="10"/>
      <c r="S85" s="10"/>
      <c r="T85" s="10"/>
      <c r="U85" s="10"/>
      <c r="V85" s="13" t="s">
        <v>450</v>
      </c>
      <c r="W85" s="57" t="s">
        <v>445</v>
      </c>
      <c r="X85" s="10"/>
      <c r="Y85" s="10" t="s">
        <v>73</v>
      </c>
      <c r="Z85" s="10"/>
      <c r="AA85" s="10" t="s">
        <v>75</v>
      </c>
      <c r="AB85" s="12" t="s">
        <v>112</v>
      </c>
      <c r="AC85" s="10" t="s">
        <v>82</v>
      </c>
      <c r="AD85" s="10" t="s">
        <v>78</v>
      </c>
      <c r="AE85" s="13" t="s">
        <v>138</v>
      </c>
      <c r="AF85" s="6" t="s">
        <v>187</v>
      </c>
      <c r="AG85" s="10" t="s">
        <v>95</v>
      </c>
      <c r="AH85" s="10" t="s">
        <v>82</v>
      </c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4">
        <v>45657.0</v>
      </c>
      <c r="BG85" s="7" t="s">
        <v>75</v>
      </c>
      <c r="BH85" s="7" t="s">
        <v>104</v>
      </c>
      <c r="BI85" s="15">
        <f t="shared" si="1"/>
        <v>48</v>
      </c>
      <c r="BJ85" s="15" t="str">
        <f t="shared" si="2"/>
        <v>35-55</v>
      </c>
      <c r="BK85" s="15"/>
      <c r="BL85" s="7"/>
      <c r="BM85" s="7"/>
      <c r="BN85" s="10" t="s">
        <v>187</v>
      </c>
    </row>
    <row r="86" ht="15.75" customHeight="1">
      <c r="A86" s="1">
        <v>99.0</v>
      </c>
      <c r="B86" s="2">
        <v>99.0</v>
      </c>
      <c r="C86" s="9">
        <v>44910.894957094904</v>
      </c>
      <c r="D86" s="10" t="s">
        <v>451</v>
      </c>
      <c r="E86" s="11">
        <v>34124.0</v>
      </c>
      <c r="F86" s="10" t="s">
        <v>67</v>
      </c>
      <c r="G86" s="10" t="s">
        <v>452</v>
      </c>
      <c r="H86" s="10">
        <v>1.151369569E9</v>
      </c>
      <c r="I86" s="10" t="s">
        <v>92</v>
      </c>
      <c r="J86" s="10" t="s">
        <v>70</v>
      </c>
      <c r="K86" s="10" t="s">
        <v>86</v>
      </c>
      <c r="L86" s="10">
        <v>64.0</v>
      </c>
      <c r="M86" s="10" t="s">
        <v>163</v>
      </c>
      <c r="N86" s="10" t="s">
        <v>75</v>
      </c>
      <c r="O86" s="10" t="s">
        <v>453</v>
      </c>
      <c r="P86" s="10" t="s">
        <v>74</v>
      </c>
      <c r="Q86" s="10"/>
      <c r="R86" s="10" t="s">
        <v>73</v>
      </c>
      <c r="S86" s="10" t="s">
        <v>73</v>
      </c>
      <c r="T86" s="10" t="s">
        <v>73</v>
      </c>
      <c r="U86" s="10" t="s">
        <v>73</v>
      </c>
      <c r="V86" s="10"/>
      <c r="W86" s="10"/>
      <c r="X86" s="10"/>
      <c r="Y86" s="10" t="s">
        <v>73</v>
      </c>
      <c r="Z86" s="10"/>
      <c r="AA86" s="10" t="s">
        <v>75</v>
      </c>
      <c r="AB86" s="12" t="s">
        <v>76</v>
      </c>
      <c r="AC86" s="10" t="s">
        <v>77</v>
      </c>
      <c r="AD86" s="10" t="s">
        <v>78</v>
      </c>
      <c r="AE86" s="13" t="s">
        <v>131</v>
      </c>
      <c r="AF86" s="6"/>
      <c r="AG86" s="10" t="s">
        <v>95</v>
      </c>
      <c r="AH86" s="10" t="s">
        <v>82</v>
      </c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4">
        <v>44916.0</v>
      </c>
      <c r="BG86" s="7" t="s">
        <v>75</v>
      </c>
      <c r="BH86" s="7" t="s">
        <v>104</v>
      </c>
      <c r="BI86" s="15">
        <f t="shared" si="1"/>
        <v>29</v>
      </c>
      <c r="BJ86" s="15" t="str">
        <f t="shared" si="2"/>
        <v>18-35</v>
      </c>
      <c r="BK86" s="15" t="s">
        <v>75</v>
      </c>
      <c r="BL86" s="15" t="s">
        <v>75</v>
      </c>
      <c r="BM86" s="16">
        <v>45596.0</v>
      </c>
      <c r="BN86" s="10"/>
    </row>
    <row r="87" ht="15.75" customHeight="1">
      <c r="A87" s="1">
        <v>100.0</v>
      </c>
      <c r="B87" s="2">
        <v>100.0</v>
      </c>
      <c r="C87" s="28">
        <v>44911.488599687495</v>
      </c>
      <c r="D87" s="29" t="s">
        <v>454</v>
      </c>
      <c r="E87" s="30">
        <v>34519.0</v>
      </c>
      <c r="F87" s="29" t="s">
        <v>67</v>
      </c>
      <c r="G87" s="29" t="s">
        <v>455</v>
      </c>
      <c r="H87" s="29">
        <v>1.1569411048E10</v>
      </c>
      <c r="I87" s="29" t="s">
        <v>92</v>
      </c>
      <c r="J87" s="29" t="s">
        <v>85</v>
      </c>
      <c r="K87" s="29" t="s">
        <v>86</v>
      </c>
      <c r="L87" s="29">
        <v>72.0</v>
      </c>
      <c r="M87" s="29" t="s">
        <v>216</v>
      </c>
      <c r="N87" s="29" t="s">
        <v>75</v>
      </c>
      <c r="O87" s="29" t="s">
        <v>456</v>
      </c>
      <c r="P87" s="29" t="s">
        <v>178</v>
      </c>
      <c r="Q87" s="29"/>
      <c r="R87" s="29" t="s">
        <v>73</v>
      </c>
      <c r="S87" s="29" t="s">
        <v>73</v>
      </c>
      <c r="T87" s="29" t="s">
        <v>73</v>
      </c>
      <c r="U87" s="29" t="s">
        <v>73</v>
      </c>
      <c r="V87" s="29"/>
      <c r="W87" s="29"/>
      <c r="X87" s="29"/>
      <c r="Y87" s="29"/>
      <c r="Z87" s="29"/>
      <c r="AA87" s="29"/>
      <c r="AB87" s="31"/>
      <c r="AC87" s="29"/>
      <c r="AD87" s="29"/>
      <c r="AE87" s="29"/>
      <c r="AF87" s="6"/>
      <c r="AG87" s="29"/>
      <c r="AH87" s="29"/>
      <c r="AI87" s="29"/>
      <c r="AJ87" s="29"/>
      <c r="AK87" s="29"/>
      <c r="AL87" s="29"/>
      <c r="AM87" s="29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56"/>
      <c r="BF87" s="14">
        <v>45657.0</v>
      </c>
      <c r="BG87" s="7" t="s">
        <v>73</v>
      </c>
      <c r="BH87" s="7"/>
      <c r="BI87" s="15">
        <f t="shared" si="1"/>
        <v>30</v>
      </c>
      <c r="BJ87" s="15" t="str">
        <f t="shared" si="2"/>
        <v>18-35</v>
      </c>
      <c r="BK87" s="15"/>
      <c r="BL87" s="7"/>
      <c r="BM87" s="7"/>
      <c r="BN87" s="29"/>
    </row>
    <row r="88" ht="15.75" customHeight="1">
      <c r="A88" s="1">
        <v>101.0</v>
      </c>
      <c r="B88" s="2">
        <v>101.0</v>
      </c>
      <c r="C88" s="17">
        <v>44911.51486322917</v>
      </c>
      <c r="D88" s="18" t="s">
        <v>457</v>
      </c>
      <c r="E88" s="19">
        <v>33466.0</v>
      </c>
      <c r="F88" s="18" t="s">
        <v>67</v>
      </c>
      <c r="G88" s="18" t="s">
        <v>458</v>
      </c>
      <c r="H88" s="18">
        <v>1.161592326E9</v>
      </c>
      <c r="I88" s="18" t="s">
        <v>69</v>
      </c>
      <c r="J88" s="18" t="s">
        <v>146</v>
      </c>
      <c r="K88" s="18" t="s">
        <v>86</v>
      </c>
      <c r="L88" s="18">
        <v>65.0</v>
      </c>
      <c r="M88" s="18" t="s">
        <v>177</v>
      </c>
      <c r="N88" s="18" t="s">
        <v>73</v>
      </c>
      <c r="O88" s="18"/>
      <c r="P88" s="18" t="s">
        <v>74</v>
      </c>
      <c r="Q88" s="18"/>
      <c r="R88" s="18" t="s">
        <v>73</v>
      </c>
      <c r="S88" s="18" t="s">
        <v>73</v>
      </c>
      <c r="T88" s="18" t="s">
        <v>73</v>
      </c>
      <c r="U88" s="18" t="s">
        <v>75</v>
      </c>
      <c r="V88" s="18" t="s">
        <v>202</v>
      </c>
      <c r="W88" s="18" t="s">
        <v>459</v>
      </c>
      <c r="X88" s="18"/>
      <c r="Y88" s="18"/>
      <c r="Z88" s="18"/>
      <c r="AA88" s="18"/>
      <c r="AB88" s="20"/>
      <c r="AC88" s="18"/>
      <c r="AD88" s="18"/>
      <c r="AE88" s="18"/>
      <c r="AF88" s="6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4">
        <v>45657.0</v>
      </c>
      <c r="BG88" s="7" t="s">
        <v>73</v>
      </c>
      <c r="BH88" s="7"/>
      <c r="BI88" s="15">
        <f t="shared" si="1"/>
        <v>33</v>
      </c>
      <c r="BJ88" s="15" t="str">
        <f t="shared" si="2"/>
        <v>18-35</v>
      </c>
      <c r="BK88" s="15"/>
      <c r="BL88" s="7"/>
      <c r="BM88" s="7"/>
      <c r="BN88" s="18"/>
    </row>
    <row r="89" ht="15.75" customHeight="1">
      <c r="A89" s="1">
        <v>102.0</v>
      </c>
      <c r="B89" s="2">
        <v>102.0</v>
      </c>
      <c r="C89" s="17">
        <v>44911.52168534722</v>
      </c>
      <c r="D89" s="18" t="s">
        <v>460</v>
      </c>
      <c r="E89" s="19">
        <v>33791.0</v>
      </c>
      <c r="F89" s="18" t="s">
        <v>67</v>
      </c>
      <c r="G89" s="18" t="s">
        <v>461</v>
      </c>
      <c r="H89" s="18">
        <v>1.144278604E9</v>
      </c>
      <c r="I89" s="18" t="s">
        <v>92</v>
      </c>
      <c r="J89" s="18" t="s">
        <v>85</v>
      </c>
      <c r="K89" s="18" t="s">
        <v>71</v>
      </c>
      <c r="L89" s="18">
        <v>56.0</v>
      </c>
      <c r="M89" s="18">
        <v>1.7</v>
      </c>
      <c r="N89" s="18" t="s">
        <v>73</v>
      </c>
      <c r="O89" s="18"/>
      <c r="P89" s="18" t="s">
        <v>74</v>
      </c>
      <c r="Q89" s="18"/>
      <c r="R89" s="18" t="s">
        <v>75</v>
      </c>
      <c r="S89" s="18" t="s">
        <v>73</v>
      </c>
      <c r="T89" s="18" t="s">
        <v>73</v>
      </c>
      <c r="U89" s="18" t="s">
        <v>73</v>
      </c>
      <c r="V89" s="18"/>
      <c r="W89" s="18"/>
      <c r="X89" s="18"/>
      <c r="Y89" s="18"/>
      <c r="Z89" s="18"/>
      <c r="AA89" s="18"/>
      <c r="AB89" s="20"/>
      <c r="AC89" s="18"/>
      <c r="AD89" s="18"/>
      <c r="AE89" s="18"/>
      <c r="AF89" s="6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4">
        <v>45657.0</v>
      </c>
      <c r="BG89" s="7" t="s">
        <v>73</v>
      </c>
      <c r="BH89" s="7"/>
      <c r="BI89" s="15">
        <f t="shared" si="1"/>
        <v>32</v>
      </c>
      <c r="BJ89" s="15" t="str">
        <f t="shared" si="2"/>
        <v>18-35</v>
      </c>
      <c r="BK89" s="15"/>
      <c r="BL89" s="7"/>
      <c r="BM89" s="7"/>
      <c r="BN89" s="18"/>
    </row>
    <row r="90" ht="15.75" customHeight="1">
      <c r="A90" s="1">
        <v>103.0</v>
      </c>
      <c r="B90" s="2">
        <v>103.0</v>
      </c>
      <c r="C90" s="17">
        <v>44911.54678096065</v>
      </c>
      <c r="D90" s="18" t="s">
        <v>462</v>
      </c>
      <c r="E90" s="19">
        <v>37406.0</v>
      </c>
      <c r="F90" s="18" t="s">
        <v>106</v>
      </c>
      <c r="G90" s="18" t="s">
        <v>463</v>
      </c>
      <c r="H90" s="18">
        <v>5.4344630939E11</v>
      </c>
      <c r="I90" s="18" t="s">
        <v>92</v>
      </c>
      <c r="J90" s="18" t="s">
        <v>70</v>
      </c>
      <c r="K90" s="18" t="s">
        <v>86</v>
      </c>
      <c r="L90" s="18">
        <v>70.0</v>
      </c>
      <c r="M90" s="18" t="s">
        <v>167</v>
      </c>
      <c r="N90" s="18" t="s">
        <v>73</v>
      </c>
      <c r="O90" s="18"/>
      <c r="P90" s="18" t="s">
        <v>74</v>
      </c>
      <c r="Q90" s="18"/>
      <c r="R90" s="18" t="s">
        <v>73</v>
      </c>
      <c r="S90" s="18" t="s">
        <v>73</v>
      </c>
      <c r="T90" s="18" t="s">
        <v>73</v>
      </c>
      <c r="U90" s="18" t="s">
        <v>75</v>
      </c>
      <c r="V90" s="18" t="s">
        <v>464</v>
      </c>
      <c r="W90" s="18" t="s">
        <v>465</v>
      </c>
      <c r="X90" s="18"/>
      <c r="Y90" s="18"/>
      <c r="Z90" s="18"/>
      <c r="AA90" s="18"/>
      <c r="AB90" s="20"/>
      <c r="AC90" s="18"/>
      <c r="AD90" s="18"/>
      <c r="AE90" s="18"/>
      <c r="AF90" s="6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4">
        <v>45657.0</v>
      </c>
      <c r="BG90" s="7" t="s">
        <v>73</v>
      </c>
      <c r="BH90" s="7"/>
      <c r="BI90" s="15">
        <f t="shared" si="1"/>
        <v>22</v>
      </c>
      <c r="BJ90" s="15" t="str">
        <f t="shared" si="2"/>
        <v>18-35</v>
      </c>
      <c r="BK90" s="15"/>
      <c r="BL90" s="7"/>
      <c r="BM90" s="7"/>
      <c r="BN90" s="18"/>
    </row>
    <row r="91" ht="15.75" customHeight="1">
      <c r="A91" s="1">
        <v>104.0</v>
      </c>
      <c r="B91" s="2">
        <v>104.0</v>
      </c>
      <c r="C91" s="17">
        <v>44911.55064563657</v>
      </c>
      <c r="D91" s="18" t="s">
        <v>466</v>
      </c>
      <c r="E91" s="19">
        <v>37755.0</v>
      </c>
      <c r="F91" s="18" t="s">
        <v>106</v>
      </c>
      <c r="G91" s="18" t="s">
        <v>467</v>
      </c>
      <c r="H91" s="18">
        <v>5.4280419619E11</v>
      </c>
      <c r="I91" s="18" t="s">
        <v>449</v>
      </c>
      <c r="J91" s="18" t="s">
        <v>85</v>
      </c>
      <c r="K91" s="18" t="s">
        <v>134</v>
      </c>
      <c r="L91" s="18">
        <v>65.0</v>
      </c>
      <c r="M91" s="18" t="s">
        <v>216</v>
      </c>
      <c r="N91" s="18" t="s">
        <v>73</v>
      </c>
      <c r="O91" s="18"/>
      <c r="P91" s="18" t="s">
        <v>74</v>
      </c>
      <c r="Q91" s="18"/>
      <c r="R91" s="18" t="s">
        <v>75</v>
      </c>
      <c r="S91" s="18" t="s">
        <v>73</v>
      </c>
      <c r="T91" s="18" t="s">
        <v>73</v>
      </c>
      <c r="U91" s="18" t="s">
        <v>73</v>
      </c>
      <c r="V91" s="18"/>
      <c r="W91" s="18"/>
      <c r="X91" s="18"/>
      <c r="Y91" s="18"/>
      <c r="Z91" s="18"/>
      <c r="AA91" s="18"/>
      <c r="AB91" s="20"/>
      <c r="AC91" s="18"/>
      <c r="AD91" s="18"/>
      <c r="AE91" s="18"/>
      <c r="AF91" s="6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4">
        <v>45657.0</v>
      </c>
      <c r="BG91" s="7" t="s">
        <v>73</v>
      </c>
      <c r="BH91" s="7"/>
      <c r="BI91" s="15">
        <f t="shared" si="1"/>
        <v>21</v>
      </c>
      <c r="BJ91" s="15" t="str">
        <f t="shared" si="2"/>
        <v>18-35</v>
      </c>
      <c r="BK91" s="15"/>
      <c r="BL91" s="7"/>
      <c r="BM91" s="7"/>
      <c r="BN91" s="18"/>
    </row>
    <row r="92" ht="15.75" customHeight="1">
      <c r="A92" s="1">
        <v>105.0</v>
      </c>
      <c r="B92" s="2">
        <v>105.0</v>
      </c>
      <c r="C92" s="9">
        <v>44911.59665876157</v>
      </c>
      <c r="D92" s="10" t="s">
        <v>468</v>
      </c>
      <c r="E92" s="11">
        <v>28657.0</v>
      </c>
      <c r="F92" s="10" t="s">
        <v>67</v>
      </c>
      <c r="G92" s="10" t="s">
        <v>469</v>
      </c>
      <c r="H92" s="10">
        <v>5.491145386748E12</v>
      </c>
      <c r="I92" s="10" t="s">
        <v>449</v>
      </c>
      <c r="J92" s="10" t="s">
        <v>146</v>
      </c>
      <c r="K92" s="10" t="s">
        <v>71</v>
      </c>
      <c r="L92" s="10">
        <v>57.0</v>
      </c>
      <c r="M92" s="10" t="s">
        <v>241</v>
      </c>
      <c r="N92" s="10" t="s">
        <v>75</v>
      </c>
      <c r="O92" s="10" t="s">
        <v>470</v>
      </c>
      <c r="P92" s="10" t="s">
        <v>74</v>
      </c>
      <c r="Q92" s="10"/>
      <c r="R92" s="10" t="s">
        <v>73</v>
      </c>
      <c r="S92" s="10" t="s">
        <v>73</v>
      </c>
      <c r="T92" s="10" t="s">
        <v>73</v>
      </c>
      <c r="U92" s="10" t="s">
        <v>75</v>
      </c>
      <c r="V92" s="10" t="s">
        <v>335</v>
      </c>
      <c r="W92" s="10" t="s">
        <v>471</v>
      </c>
      <c r="X92" s="10"/>
      <c r="Y92" s="10" t="s">
        <v>73</v>
      </c>
      <c r="Z92" s="10"/>
      <c r="AA92" s="10" t="s">
        <v>75</v>
      </c>
      <c r="AB92" s="12" t="s">
        <v>76</v>
      </c>
      <c r="AC92" s="10" t="s">
        <v>77</v>
      </c>
      <c r="AD92" s="10" t="s">
        <v>94</v>
      </c>
      <c r="AE92" s="13" t="s">
        <v>131</v>
      </c>
      <c r="AF92" s="6" t="s">
        <v>80</v>
      </c>
      <c r="AG92" s="10" t="s">
        <v>95</v>
      </c>
      <c r="AH92" s="10" t="s">
        <v>96</v>
      </c>
      <c r="AI92" s="21" t="s">
        <v>472</v>
      </c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4">
        <v>44916.0</v>
      </c>
      <c r="BG92" s="7" t="s">
        <v>75</v>
      </c>
      <c r="BH92" s="7" t="s">
        <v>104</v>
      </c>
      <c r="BI92" s="15">
        <f t="shared" si="1"/>
        <v>44</v>
      </c>
      <c r="BJ92" s="15" t="str">
        <f t="shared" si="2"/>
        <v>35-55</v>
      </c>
      <c r="BK92" s="15" t="s">
        <v>75</v>
      </c>
      <c r="BL92" s="15" t="s">
        <v>75</v>
      </c>
      <c r="BM92" s="16">
        <v>45596.0</v>
      </c>
      <c r="BN92" s="10"/>
    </row>
    <row r="93" ht="15.75" customHeight="1">
      <c r="A93" s="1">
        <v>106.0</v>
      </c>
      <c r="B93" s="2">
        <v>106.0</v>
      </c>
      <c r="C93" s="28">
        <v>44911.64451861111</v>
      </c>
      <c r="D93" s="29" t="s">
        <v>473</v>
      </c>
      <c r="E93" s="30">
        <v>32594.0</v>
      </c>
      <c r="F93" s="29" t="s">
        <v>106</v>
      </c>
      <c r="G93" s="29" t="s">
        <v>474</v>
      </c>
      <c r="H93" s="29">
        <v>1.167102946E9</v>
      </c>
      <c r="I93" s="29" t="s">
        <v>449</v>
      </c>
      <c r="J93" s="29" t="s">
        <v>85</v>
      </c>
      <c r="K93" s="29" t="s">
        <v>86</v>
      </c>
      <c r="L93" s="29">
        <v>69.0</v>
      </c>
      <c r="M93" s="29" t="s">
        <v>392</v>
      </c>
      <c r="N93" s="29" t="s">
        <v>73</v>
      </c>
      <c r="O93" s="29"/>
      <c r="P93" s="29" t="s">
        <v>178</v>
      </c>
      <c r="Q93" s="29"/>
      <c r="R93" s="29" t="s">
        <v>73</v>
      </c>
      <c r="S93" s="29" t="s">
        <v>73</v>
      </c>
      <c r="T93" s="29" t="s">
        <v>73</v>
      </c>
      <c r="U93" s="29" t="s">
        <v>73</v>
      </c>
      <c r="V93" s="29"/>
      <c r="W93" s="29"/>
      <c r="X93" s="29"/>
      <c r="Y93" s="29"/>
      <c r="Z93" s="29"/>
      <c r="AA93" s="29"/>
      <c r="AB93" s="31"/>
      <c r="AC93" s="29"/>
      <c r="AD93" s="29"/>
      <c r="AE93" s="29"/>
      <c r="AF93" s="6"/>
      <c r="AG93" s="29"/>
      <c r="AH93" s="29"/>
      <c r="AI93" s="29"/>
      <c r="AJ93" s="29"/>
      <c r="AK93" s="29"/>
      <c r="AL93" s="29"/>
      <c r="AM93" s="29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  <c r="BE93" s="56"/>
      <c r="BF93" s="14">
        <v>45657.0</v>
      </c>
      <c r="BG93" s="7" t="s">
        <v>73</v>
      </c>
      <c r="BH93" s="7"/>
      <c r="BI93" s="15">
        <f t="shared" si="1"/>
        <v>35</v>
      </c>
      <c r="BJ93" s="15" t="str">
        <f t="shared" si="2"/>
        <v>18-35</v>
      </c>
      <c r="BK93" s="15"/>
      <c r="BL93" s="7"/>
      <c r="BM93" s="7"/>
      <c r="BN93" s="29"/>
    </row>
    <row r="94" ht="15.75" customHeight="1">
      <c r="A94" s="1">
        <v>107.0</v>
      </c>
      <c r="B94" s="2">
        <v>107.0</v>
      </c>
      <c r="C94" s="17">
        <v>44911.65026967593</v>
      </c>
      <c r="D94" s="18" t="s">
        <v>475</v>
      </c>
      <c r="E94" s="19">
        <v>33668.0</v>
      </c>
      <c r="F94" s="18" t="s">
        <v>67</v>
      </c>
      <c r="G94" s="18" t="s">
        <v>476</v>
      </c>
      <c r="H94" s="18">
        <v>1.134574751E9</v>
      </c>
      <c r="I94" s="18" t="s">
        <v>69</v>
      </c>
      <c r="J94" s="18" t="s">
        <v>70</v>
      </c>
      <c r="K94" s="18" t="s">
        <v>86</v>
      </c>
      <c r="L94" s="18">
        <v>58.0</v>
      </c>
      <c r="M94" s="18" t="s">
        <v>147</v>
      </c>
      <c r="N94" s="18" t="s">
        <v>73</v>
      </c>
      <c r="O94" s="18"/>
      <c r="P94" s="18" t="s">
        <v>74</v>
      </c>
      <c r="Q94" s="18"/>
      <c r="R94" s="18" t="s">
        <v>73</v>
      </c>
      <c r="S94" s="18" t="s">
        <v>73</v>
      </c>
      <c r="T94" s="18" t="s">
        <v>73</v>
      </c>
      <c r="U94" s="18" t="s">
        <v>73</v>
      </c>
      <c r="V94" s="18"/>
      <c r="W94" s="18"/>
      <c r="X94" s="18"/>
      <c r="Y94" s="18"/>
      <c r="Z94" s="18"/>
      <c r="AA94" s="18"/>
      <c r="AB94" s="20"/>
      <c r="AC94" s="18"/>
      <c r="AD94" s="18"/>
      <c r="AE94" s="18"/>
      <c r="AF94" s="6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4">
        <v>45657.0</v>
      </c>
      <c r="BG94" s="7" t="s">
        <v>73</v>
      </c>
      <c r="BH94" s="7"/>
      <c r="BI94" s="15">
        <f t="shared" si="1"/>
        <v>32</v>
      </c>
      <c r="BJ94" s="15" t="str">
        <f t="shared" si="2"/>
        <v>18-35</v>
      </c>
      <c r="BK94" s="15"/>
      <c r="BL94" s="7"/>
      <c r="BM94" s="7"/>
      <c r="BN94" s="18"/>
    </row>
    <row r="95" ht="15.75" customHeight="1">
      <c r="A95" s="1">
        <v>109.0</v>
      </c>
      <c r="B95" s="2">
        <v>108.0</v>
      </c>
      <c r="C95" s="10" t="s">
        <v>477</v>
      </c>
      <c r="D95" s="10" t="s">
        <v>478</v>
      </c>
      <c r="E95" s="11">
        <v>22031.0</v>
      </c>
      <c r="F95" s="10" t="s">
        <v>106</v>
      </c>
      <c r="G95" s="10" t="s">
        <v>479</v>
      </c>
      <c r="H95" s="10">
        <v>1.140937286E9</v>
      </c>
      <c r="I95" s="10" t="s">
        <v>221</v>
      </c>
      <c r="J95" s="10" t="s">
        <v>85</v>
      </c>
      <c r="K95" s="10" t="s">
        <v>86</v>
      </c>
      <c r="L95" s="10">
        <v>107.0</v>
      </c>
      <c r="M95" s="10" t="s">
        <v>271</v>
      </c>
      <c r="N95" s="10" t="s">
        <v>75</v>
      </c>
      <c r="O95" s="10" t="s">
        <v>480</v>
      </c>
      <c r="P95" s="10" t="s">
        <v>74</v>
      </c>
      <c r="Q95" s="10"/>
      <c r="R95" s="10" t="s">
        <v>73</v>
      </c>
      <c r="S95" s="10" t="s">
        <v>73</v>
      </c>
      <c r="T95" s="10" t="s">
        <v>73</v>
      </c>
      <c r="U95" s="10" t="s">
        <v>75</v>
      </c>
      <c r="V95" s="10" t="s">
        <v>481</v>
      </c>
      <c r="W95" s="10" t="s">
        <v>482</v>
      </c>
      <c r="X95" s="10"/>
      <c r="Y95" s="10" t="s">
        <v>75</v>
      </c>
      <c r="Z95" s="10" t="s">
        <v>483</v>
      </c>
      <c r="AA95" s="10" t="s">
        <v>75</v>
      </c>
      <c r="AB95" s="12" t="s">
        <v>484</v>
      </c>
      <c r="AC95" s="10" t="s">
        <v>77</v>
      </c>
      <c r="AD95" s="10" t="s">
        <v>78</v>
      </c>
      <c r="AE95" s="13" t="s">
        <v>205</v>
      </c>
      <c r="AF95" s="6"/>
      <c r="AG95" s="10" t="s">
        <v>81</v>
      </c>
      <c r="AH95" s="10" t="s">
        <v>82</v>
      </c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4">
        <v>44916.0</v>
      </c>
      <c r="BG95" s="7" t="s">
        <v>75</v>
      </c>
      <c r="BH95" s="7" t="s">
        <v>104</v>
      </c>
      <c r="BI95" s="15">
        <f t="shared" si="1"/>
        <v>62</v>
      </c>
      <c r="BJ95" s="15" t="str">
        <f t="shared" si="2"/>
        <v>&gt;55</v>
      </c>
      <c r="BK95" s="15" t="s">
        <v>75</v>
      </c>
      <c r="BL95" s="15" t="s">
        <v>75</v>
      </c>
      <c r="BM95" s="16">
        <v>45596.0</v>
      </c>
      <c r="BN95" s="10"/>
    </row>
    <row r="96" ht="15.75" customHeight="1">
      <c r="A96" s="1">
        <v>108.0</v>
      </c>
      <c r="B96" s="2">
        <v>109.0</v>
      </c>
      <c r="C96" s="32">
        <v>44911.66666859954</v>
      </c>
      <c r="D96" s="33" t="s">
        <v>485</v>
      </c>
      <c r="E96" s="34">
        <v>32227.0</v>
      </c>
      <c r="F96" s="33" t="s">
        <v>67</v>
      </c>
      <c r="G96" s="33" t="s">
        <v>486</v>
      </c>
      <c r="H96" s="33">
        <v>1.149725779E9</v>
      </c>
      <c r="I96" s="33" t="s">
        <v>92</v>
      </c>
      <c r="J96" s="33" t="s">
        <v>70</v>
      </c>
      <c r="K96" s="33" t="s">
        <v>166</v>
      </c>
      <c r="L96" s="33">
        <v>47.0</v>
      </c>
      <c r="M96" s="33" t="s">
        <v>487</v>
      </c>
      <c r="N96" s="33" t="s">
        <v>73</v>
      </c>
      <c r="O96" s="33"/>
      <c r="P96" s="33" t="s">
        <v>329</v>
      </c>
      <c r="Q96" s="33"/>
      <c r="R96" s="33" t="s">
        <v>73</v>
      </c>
      <c r="S96" s="33" t="s">
        <v>73</v>
      </c>
      <c r="T96" s="33" t="s">
        <v>73</v>
      </c>
      <c r="U96" s="33" t="s">
        <v>73</v>
      </c>
      <c r="V96" s="33"/>
      <c r="W96" s="33"/>
      <c r="X96" s="33"/>
      <c r="Y96" s="33"/>
      <c r="Z96" s="33"/>
      <c r="AA96" s="33"/>
      <c r="AB96" s="35"/>
      <c r="AC96" s="33"/>
      <c r="AD96" s="33"/>
      <c r="AE96" s="33"/>
      <c r="AF96" s="6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14">
        <v>45657.0</v>
      </c>
      <c r="BG96" s="7" t="s">
        <v>73</v>
      </c>
      <c r="BH96" s="7"/>
      <c r="BI96" s="15">
        <f t="shared" si="1"/>
        <v>36</v>
      </c>
      <c r="BJ96" s="15" t="str">
        <f t="shared" si="2"/>
        <v>35-55</v>
      </c>
      <c r="BK96" s="15"/>
      <c r="BL96" s="7"/>
      <c r="BM96" s="7"/>
      <c r="BN96" s="33"/>
    </row>
    <row r="97" ht="15.75" customHeight="1">
      <c r="A97" s="1">
        <v>110.0</v>
      </c>
      <c r="B97" s="2">
        <v>110.0</v>
      </c>
      <c r="C97" s="17">
        <v>44911.952419016205</v>
      </c>
      <c r="D97" s="18" t="s">
        <v>488</v>
      </c>
      <c r="E97" s="19">
        <v>22927.0</v>
      </c>
      <c r="F97" s="18" t="s">
        <v>67</v>
      </c>
      <c r="G97" s="18" t="s">
        <v>489</v>
      </c>
      <c r="H97" s="18">
        <v>1.157584554E9</v>
      </c>
      <c r="I97" s="18" t="s">
        <v>92</v>
      </c>
      <c r="J97" s="18" t="s">
        <v>70</v>
      </c>
      <c r="K97" s="18" t="s">
        <v>71</v>
      </c>
      <c r="L97" s="18">
        <v>59.0</v>
      </c>
      <c r="M97" s="18" t="s">
        <v>295</v>
      </c>
      <c r="N97" s="18" t="s">
        <v>73</v>
      </c>
      <c r="O97" s="18"/>
      <c r="P97" s="18" t="s">
        <v>74</v>
      </c>
      <c r="Q97" s="18"/>
      <c r="R97" s="18" t="s">
        <v>73</v>
      </c>
      <c r="S97" s="18" t="s">
        <v>73</v>
      </c>
      <c r="T97" s="18" t="s">
        <v>73</v>
      </c>
      <c r="U97" s="18" t="s">
        <v>73</v>
      </c>
      <c r="V97" s="18"/>
      <c r="W97" s="18"/>
      <c r="X97" s="18"/>
      <c r="Y97" s="18"/>
      <c r="Z97" s="18"/>
      <c r="AA97" s="18"/>
      <c r="AB97" s="20"/>
      <c r="AC97" s="18"/>
      <c r="AD97" s="18"/>
      <c r="AE97" s="18"/>
      <c r="AF97" s="6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4">
        <v>45657.0</v>
      </c>
      <c r="BG97" s="7" t="s">
        <v>73</v>
      </c>
      <c r="BH97" s="7"/>
      <c r="BI97" s="15">
        <f t="shared" si="1"/>
        <v>62</v>
      </c>
      <c r="BJ97" s="15" t="str">
        <f t="shared" si="2"/>
        <v>&gt;55</v>
      </c>
      <c r="BK97" s="15"/>
      <c r="BL97" s="7"/>
      <c r="BM97" s="7"/>
      <c r="BN97" s="18"/>
    </row>
    <row r="98" ht="15.75" customHeight="1">
      <c r="A98" s="1">
        <v>111.0</v>
      </c>
      <c r="B98" s="2">
        <v>111.0</v>
      </c>
      <c r="C98" s="37">
        <v>44914.374226678236</v>
      </c>
      <c r="D98" s="38" t="s">
        <v>490</v>
      </c>
      <c r="E98" s="39">
        <v>28124.0</v>
      </c>
      <c r="F98" s="38" t="s">
        <v>67</v>
      </c>
      <c r="G98" s="38" t="s">
        <v>491</v>
      </c>
      <c r="H98" s="38">
        <v>1.144494136E9</v>
      </c>
      <c r="I98" s="38" t="s">
        <v>449</v>
      </c>
      <c r="J98" s="38" t="s">
        <v>109</v>
      </c>
      <c r="K98" s="38" t="s">
        <v>134</v>
      </c>
      <c r="L98" s="38">
        <v>59.0</v>
      </c>
      <c r="M98" s="38" t="s">
        <v>126</v>
      </c>
      <c r="N98" s="38" t="s">
        <v>75</v>
      </c>
      <c r="O98" s="38" t="s">
        <v>492</v>
      </c>
      <c r="P98" s="38" t="s">
        <v>493</v>
      </c>
      <c r="Q98" s="38"/>
      <c r="R98" s="38" t="s">
        <v>73</v>
      </c>
      <c r="S98" s="38" t="s">
        <v>73</v>
      </c>
      <c r="T98" s="38" t="s">
        <v>73</v>
      </c>
      <c r="U98" s="38" t="s">
        <v>75</v>
      </c>
      <c r="V98" s="38" t="s">
        <v>494</v>
      </c>
      <c r="W98" s="38" t="s">
        <v>495</v>
      </c>
      <c r="X98" s="38"/>
      <c r="Y98" s="38"/>
      <c r="Z98" s="38"/>
      <c r="AA98" s="38"/>
      <c r="AB98" s="40"/>
      <c r="AC98" s="38"/>
      <c r="AD98" s="38"/>
      <c r="AE98" s="38"/>
      <c r="AF98" s="6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14">
        <v>45657.0</v>
      </c>
      <c r="BG98" s="7" t="s">
        <v>73</v>
      </c>
      <c r="BH98" s="7"/>
      <c r="BI98" s="15">
        <f t="shared" si="1"/>
        <v>48</v>
      </c>
      <c r="BJ98" s="15" t="str">
        <f t="shared" si="2"/>
        <v>35-55</v>
      </c>
      <c r="BK98" s="15"/>
      <c r="BL98" s="7"/>
      <c r="BM98" s="7"/>
      <c r="BN98" s="38"/>
    </row>
    <row r="99" ht="15.75" customHeight="1">
      <c r="A99" s="1">
        <v>112.0</v>
      </c>
      <c r="B99" s="2">
        <v>112.0</v>
      </c>
      <c r="C99" s="37">
        <v>44915.45737636574</v>
      </c>
      <c r="D99" s="38" t="s">
        <v>496</v>
      </c>
      <c r="E99" s="39">
        <v>20195.0</v>
      </c>
      <c r="F99" s="38" t="s">
        <v>67</v>
      </c>
      <c r="G99" s="38" t="s">
        <v>497</v>
      </c>
      <c r="H99" s="38">
        <v>1.165485256E9</v>
      </c>
      <c r="I99" s="38" t="s">
        <v>449</v>
      </c>
      <c r="J99" s="38" t="s">
        <v>146</v>
      </c>
      <c r="K99" s="38" t="s">
        <v>71</v>
      </c>
      <c r="L99" s="38">
        <v>56.0</v>
      </c>
      <c r="M99" s="38" t="s">
        <v>295</v>
      </c>
      <c r="N99" s="38" t="s">
        <v>73</v>
      </c>
      <c r="O99" s="38"/>
      <c r="P99" s="38" t="s">
        <v>210</v>
      </c>
      <c r="Q99" s="38" t="s">
        <v>498</v>
      </c>
      <c r="R99" s="38" t="s">
        <v>73</v>
      </c>
      <c r="S99" s="38" t="s">
        <v>73</v>
      </c>
      <c r="T99" s="38" t="s">
        <v>73</v>
      </c>
      <c r="U99" s="38" t="s">
        <v>75</v>
      </c>
      <c r="V99" s="38" t="s">
        <v>499</v>
      </c>
      <c r="W99" s="38" t="s">
        <v>500</v>
      </c>
      <c r="X99" s="38"/>
      <c r="Y99" s="38"/>
      <c r="Z99" s="38"/>
      <c r="AA99" s="38"/>
      <c r="AB99" s="40"/>
      <c r="AC99" s="38"/>
      <c r="AD99" s="38"/>
      <c r="AE99" s="38"/>
      <c r="AF99" s="6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14">
        <v>45657.0</v>
      </c>
      <c r="BG99" s="7" t="s">
        <v>73</v>
      </c>
      <c r="BH99" s="7"/>
      <c r="BI99" s="15">
        <f t="shared" si="1"/>
        <v>69</v>
      </c>
      <c r="BJ99" s="15" t="str">
        <f>IF(BI100&lt;36, "18-35", IF(BI100&lt;56, "35-55", "&gt;55"))</f>
        <v>35-55</v>
      </c>
      <c r="BK99" s="15"/>
      <c r="BL99" s="7"/>
      <c r="BM99" s="7"/>
      <c r="BN99" s="38"/>
    </row>
    <row r="100" ht="15.75" customHeight="1">
      <c r="A100" s="1">
        <v>113.0</v>
      </c>
      <c r="B100" s="2">
        <v>113.0</v>
      </c>
      <c r="C100" s="9">
        <v>44915.83525805555</v>
      </c>
      <c r="D100" s="10" t="s">
        <v>501</v>
      </c>
      <c r="E100" s="11">
        <v>26301.0</v>
      </c>
      <c r="F100" s="10" t="s">
        <v>67</v>
      </c>
      <c r="G100" s="10" t="s">
        <v>502</v>
      </c>
      <c r="H100" s="10">
        <v>1.159109363E9</v>
      </c>
      <c r="I100" s="10" t="s">
        <v>449</v>
      </c>
      <c r="J100" s="10" t="s">
        <v>85</v>
      </c>
      <c r="K100" s="10" t="s">
        <v>134</v>
      </c>
      <c r="L100" s="10">
        <v>56.0</v>
      </c>
      <c r="M100" s="10" t="s">
        <v>181</v>
      </c>
      <c r="N100" s="10" t="s">
        <v>73</v>
      </c>
      <c r="O100" s="10"/>
      <c r="P100" s="10" t="s">
        <v>74</v>
      </c>
      <c r="Q100" s="10"/>
      <c r="R100" s="10" t="s">
        <v>73</v>
      </c>
      <c r="S100" s="10" t="s">
        <v>73</v>
      </c>
      <c r="T100" s="10" t="s">
        <v>73</v>
      </c>
      <c r="U100" s="10" t="s">
        <v>73</v>
      </c>
      <c r="V100" s="10"/>
      <c r="W100" s="10"/>
      <c r="X100" s="10"/>
      <c r="Y100" s="10" t="s">
        <v>73</v>
      </c>
      <c r="Z100" s="10"/>
      <c r="AA100" s="10" t="s">
        <v>75</v>
      </c>
      <c r="AB100" s="12" t="s">
        <v>76</v>
      </c>
      <c r="AC100" s="10" t="s">
        <v>77</v>
      </c>
      <c r="AD100" s="10" t="s">
        <v>94</v>
      </c>
      <c r="AE100" s="13" t="s">
        <v>138</v>
      </c>
      <c r="AF100" s="6"/>
      <c r="AG100" s="10" t="s">
        <v>95</v>
      </c>
      <c r="AH100" s="10" t="s">
        <v>77</v>
      </c>
      <c r="AI100" s="21" t="s">
        <v>432</v>
      </c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4">
        <v>44971.0</v>
      </c>
      <c r="BG100" s="7" t="s">
        <v>75</v>
      </c>
      <c r="BH100" s="7"/>
      <c r="BI100" s="15">
        <f t="shared" si="1"/>
        <v>51</v>
      </c>
      <c r="BK100" s="15" t="s">
        <v>75</v>
      </c>
      <c r="BL100" s="15" t="s">
        <v>75</v>
      </c>
      <c r="BM100" s="16">
        <v>45596.0</v>
      </c>
      <c r="BN100" s="10"/>
    </row>
    <row r="101" ht="15.75" customHeight="1">
      <c r="A101" s="1">
        <v>114.0</v>
      </c>
      <c r="B101" s="2">
        <v>114.0</v>
      </c>
      <c r="C101" s="9">
        <v>44921.882790358795</v>
      </c>
      <c r="D101" s="10" t="s">
        <v>503</v>
      </c>
      <c r="E101" s="11">
        <v>24428.0</v>
      </c>
      <c r="F101" s="10" t="s">
        <v>106</v>
      </c>
      <c r="G101" s="10" t="s">
        <v>504</v>
      </c>
      <c r="H101" s="10" t="s">
        <v>137</v>
      </c>
      <c r="I101" s="10" t="s">
        <v>449</v>
      </c>
      <c r="J101" s="10" t="s">
        <v>85</v>
      </c>
      <c r="K101" s="10" t="s">
        <v>86</v>
      </c>
      <c r="L101" s="10">
        <v>90.0</v>
      </c>
      <c r="M101" s="10" t="s">
        <v>147</v>
      </c>
      <c r="N101" s="10" t="s">
        <v>75</v>
      </c>
      <c r="O101" s="10" t="s">
        <v>505</v>
      </c>
      <c r="P101" s="10" t="s">
        <v>74</v>
      </c>
      <c r="Q101" s="10"/>
      <c r="R101" s="10" t="s">
        <v>73</v>
      </c>
      <c r="S101" s="10" t="s">
        <v>73</v>
      </c>
      <c r="T101" s="10" t="s">
        <v>73</v>
      </c>
      <c r="U101" s="10" t="s">
        <v>73</v>
      </c>
      <c r="V101" s="10"/>
      <c r="W101" s="10"/>
      <c r="X101" s="10"/>
      <c r="Y101" s="10" t="s">
        <v>73</v>
      </c>
      <c r="Z101" s="10"/>
      <c r="AA101" s="10" t="s">
        <v>75</v>
      </c>
      <c r="AB101" s="12" t="s">
        <v>112</v>
      </c>
      <c r="AC101" s="10" t="s">
        <v>77</v>
      </c>
      <c r="AD101" s="10" t="s">
        <v>506</v>
      </c>
      <c r="AE101" s="13" t="s">
        <v>205</v>
      </c>
      <c r="AF101" s="6" t="s">
        <v>80</v>
      </c>
      <c r="AG101" s="10" t="s">
        <v>81</v>
      </c>
      <c r="AH101" s="10" t="s">
        <v>82</v>
      </c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4">
        <v>44880.0</v>
      </c>
      <c r="BG101" s="7" t="s">
        <v>75</v>
      </c>
      <c r="BH101" s="7" t="s">
        <v>104</v>
      </c>
      <c r="BI101" s="15">
        <f t="shared" si="1"/>
        <v>56</v>
      </c>
      <c r="BJ101" s="15" t="str">
        <f t="shared" ref="BJ101:BJ396" si="3">IF(BI101&lt;36, "18-35", IF(BI101&lt;56, "35-55", "&gt;55"))</f>
        <v>&gt;55</v>
      </c>
      <c r="BK101" s="15" t="s">
        <v>75</v>
      </c>
      <c r="BL101" s="47" t="s">
        <v>326</v>
      </c>
      <c r="BM101" s="7"/>
      <c r="BN101" s="10" t="s">
        <v>80</v>
      </c>
    </row>
    <row r="102" ht="15.75" customHeight="1">
      <c r="A102" s="1">
        <v>115.0</v>
      </c>
      <c r="B102" s="2">
        <v>115.0</v>
      </c>
      <c r="C102" s="9">
        <v>44921.89237423611</v>
      </c>
      <c r="D102" s="10" t="s">
        <v>507</v>
      </c>
      <c r="E102" s="11">
        <v>25839.0</v>
      </c>
      <c r="F102" s="10" t="s">
        <v>67</v>
      </c>
      <c r="G102" s="10" t="s">
        <v>508</v>
      </c>
      <c r="H102" s="10" t="s">
        <v>137</v>
      </c>
      <c r="I102" s="10" t="s">
        <v>92</v>
      </c>
      <c r="J102" s="10" t="s">
        <v>70</v>
      </c>
      <c r="K102" s="10" t="s">
        <v>86</v>
      </c>
      <c r="L102" s="10">
        <v>74.0</v>
      </c>
      <c r="M102" s="10" t="s">
        <v>181</v>
      </c>
      <c r="N102" s="10" t="s">
        <v>73</v>
      </c>
      <c r="O102" s="10"/>
      <c r="P102" s="10" t="s">
        <v>74</v>
      </c>
      <c r="Q102" s="10"/>
      <c r="R102" s="10" t="s">
        <v>73</v>
      </c>
      <c r="S102" s="10" t="s">
        <v>73</v>
      </c>
      <c r="T102" s="10" t="s">
        <v>73</v>
      </c>
      <c r="U102" s="10" t="s">
        <v>73</v>
      </c>
      <c r="V102" s="10"/>
      <c r="W102" s="10"/>
      <c r="X102" s="10"/>
      <c r="Y102" s="10" t="s">
        <v>73</v>
      </c>
      <c r="Z102" s="10"/>
      <c r="AA102" s="10" t="s">
        <v>75</v>
      </c>
      <c r="AB102" s="12" t="s">
        <v>76</v>
      </c>
      <c r="AC102" s="10" t="s">
        <v>95</v>
      </c>
      <c r="AD102" s="10" t="s">
        <v>94</v>
      </c>
      <c r="AE102" s="13" t="s">
        <v>79</v>
      </c>
      <c r="AF102" s="6" t="s">
        <v>80</v>
      </c>
      <c r="AG102" s="10" t="s">
        <v>81</v>
      </c>
      <c r="AH102" s="10" t="s">
        <v>77</v>
      </c>
      <c r="AI102" s="21" t="s">
        <v>509</v>
      </c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4">
        <v>44880.0</v>
      </c>
      <c r="BG102" s="7" t="s">
        <v>75</v>
      </c>
      <c r="BH102" s="7" t="s">
        <v>104</v>
      </c>
      <c r="BI102" s="15">
        <f t="shared" si="1"/>
        <v>52</v>
      </c>
      <c r="BJ102" s="15" t="str">
        <f t="shared" si="3"/>
        <v>35-55</v>
      </c>
      <c r="BK102" s="15" t="s">
        <v>75</v>
      </c>
      <c r="BL102" s="15" t="s">
        <v>75</v>
      </c>
      <c r="BM102" s="16">
        <v>45596.0</v>
      </c>
      <c r="BN102" s="10" t="s">
        <v>80</v>
      </c>
    </row>
    <row r="103" ht="15.75" customHeight="1">
      <c r="A103" s="1">
        <v>116.0</v>
      </c>
      <c r="B103" s="2">
        <v>116.0</v>
      </c>
      <c r="C103" s="9">
        <v>44921.89356798611</v>
      </c>
      <c r="D103" s="10" t="s">
        <v>510</v>
      </c>
      <c r="E103" s="11">
        <v>35545.0</v>
      </c>
      <c r="F103" s="10" t="s">
        <v>67</v>
      </c>
      <c r="G103" s="10" t="s">
        <v>511</v>
      </c>
      <c r="H103" s="10" t="s">
        <v>137</v>
      </c>
      <c r="I103" s="10" t="s">
        <v>449</v>
      </c>
      <c r="J103" s="10" t="s">
        <v>85</v>
      </c>
      <c r="K103" s="10" t="s">
        <v>86</v>
      </c>
      <c r="L103" s="10">
        <v>52.0</v>
      </c>
      <c r="M103" s="10" t="s">
        <v>512</v>
      </c>
      <c r="N103" s="10" t="s">
        <v>73</v>
      </c>
      <c r="O103" s="10"/>
      <c r="P103" s="10" t="s">
        <v>74</v>
      </c>
      <c r="Q103" s="10"/>
      <c r="R103" s="10" t="s">
        <v>73</v>
      </c>
      <c r="S103" s="10" t="s">
        <v>73</v>
      </c>
      <c r="T103" s="10" t="s">
        <v>73</v>
      </c>
      <c r="U103" s="10" t="s">
        <v>73</v>
      </c>
      <c r="V103" s="10"/>
      <c r="W103" s="10"/>
      <c r="X103" s="10"/>
      <c r="Y103" s="10" t="s">
        <v>73</v>
      </c>
      <c r="Z103" s="10"/>
      <c r="AA103" s="10" t="s">
        <v>75</v>
      </c>
      <c r="AB103" s="12" t="s">
        <v>76</v>
      </c>
      <c r="AC103" s="10" t="s">
        <v>77</v>
      </c>
      <c r="AD103" s="10" t="s">
        <v>78</v>
      </c>
      <c r="AE103" s="13" t="s">
        <v>131</v>
      </c>
      <c r="AF103" s="6" t="s">
        <v>80</v>
      </c>
      <c r="AG103" s="10" t="s">
        <v>81</v>
      </c>
      <c r="AH103" s="10" t="s">
        <v>96</v>
      </c>
      <c r="AI103" s="21" t="s">
        <v>432</v>
      </c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4">
        <v>44880.0</v>
      </c>
      <c r="BG103" s="7" t="s">
        <v>75</v>
      </c>
      <c r="BH103" s="7" t="s">
        <v>104</v>
      </c>
      <c r="BI103" s="15">
        <f t="shared" si="1"/>
        <v>25</v>
      </c>
      <c r="BJ103" s="15" t="str">
        <f t="shared" si="3"/>
        <v>18-35</v>
      </c>
      <c r="BK103" s="15" t="s">
        <v>75</v>
      </c>
      <c r="BL103" s="15" t="s">
        <v>75</v>
      </c>
      <c r="BM103" s="16">
        <v>45596.0</v>
      </c>
      <c r="BN103" s="10" t="s">
        <v>80</v>
      </c>
    </row>
    <row r="104" ht="15.75" customHeight="1">
      <c r="A104" s="1">
        <v>117.0</v>
      </c>
      <c r="B104" s="2">
        <v>117.0</v>
      </c>
      <c r="C104" s="17">
        <v>44923.54632277778</v>
      </c>
      <c r="D104" s="18" t="s">
        <v>513</v>
      </c>
      <c r="E104" s="19">
        <v>26540.0</v>
      </c>
      <c r="F104" s="18" t="s">
        <v>106</v>
      </c>
      <c r="G104" s="18" t="s">
        <v>514</v>
      </c>
      <c r="H104" s="26" t="s">
        <v>515</v>
      </c>
      <c r="I104" s="18" t="s">
        <v>92</v>
      </c>
      <c r="J104" s="18" t="s">
        <v>85</v>
      </c>
      <c r="K104" s="18" t="s">
        <v>86</v>
      </c>
      <c r="L104" s="18">
        <v>76.0</v>
      </c>
      <c r="M104" s="18" t="s">
        <v>516</v>
      </c>
      <c r="N104" s="18" t="s">
        <v>73</v>
      </c>
      <c r="O104" s="18"/>
      <c r="P104" s="18" t="s">
        <v>74</v>
      </c>
      <c r="Q104" s="18"/>
      <c r="R104" s="18" t="s">
        <v>73</v>
      </c>
      <c r="S104" s="18" t="s">
        <v>73</v>
      </c>
      <c r="T104" s="18" t="s">
        <v>73</v>
      </c>
      <c r="U104" s="18" t="s">
        <v>73</v>
      </c>
      <c r="V104" s="18"/>
      <c r="W104" s="18"/>
      <c r="X104" s="18"/>
      <c r="Y104" s="18"/>
      <c r="Z104" s="18"/>
      <c r="AA104" s="18"/>
      <c r="AB104" s="20"/>
      <c r="AC104" s="18"/>
      <c r="AD104" s="18"/>
      <c r="AE104" s="18"/>
      <c r="AF104" s="6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4">
        <v>45657.0</v>
      </c>
      <c r="BG104" s="7" t="s">
        <v>73</v>
      </c>
      <c r="BH104" s="7"/>
      <c r="BI104" s="15">
        <f t="shared" si="1"/>
        <v>52</v>
      </c>
      <c r="BJ104" s="15" t="str">
        <f t="shared" si="3"/>
        <v>35-55</v>
      </c>
      <c r="BK104" s="15"/>
      <c r="BL104" s="7"/>
      <c r="BM104" s="7"/>
      <c r="BN104" s="18"/>
    </row>
    <row r="105" ht="15.75" customHeight="1">
      <c r="A105" s="1">
        <v>118.0</v>
      </c>
      <c r="B105" s="2">
        <v>118.0</v>
      </c>
      <c r="C105" s="9">
        <v>44935.49186934027</v>
      </c>
      <c r="D105" s="10" t="s">
        <v>517</v>
      </c>
      <c r="E105" s="11">
        <v>29434.0</v>
      </c>
      <c r="F105" s="10" t="s">
        <v>67</v>
      </c>
      <c r="G105" s="10" t="s">
        <v>518</v>
      </c>
      <c r="H105" s="10">
        <v>3.425887659E9</v>
      </c>
      <c r="I105" s="10" t="s">
        <v>449</v>
      </c>
      <c r="J105" s="10" t="s">
        <v>146</v>
      </c>
      <c r="K105" s="10" t="s">
        <v>86</v>
      </c>
      <c r="L105" s="10">
        <v>75.0</v>
      </c>
      <c r="M105" s="10" t="s">
        <v>167</v>
      </c>
      <c r="N105" s="10" t="s">
        <v>73</v>
      </c>
      <c r="O105" s="10"/>
      <c r="P105" s="10" t="s">
        <v>74</v>
      </c>
      <c r="Q105" s="10"/>
      <c r="R105" s="10" t="s">
        <v>73</v>
      </c>
      <c r="S105" s="10" t="s">
        <v>73</v>
      </c>
      <c r="T105" s="10" t="s">
        <v>73</v>
      </c>
      <c r="U105" s="10" t="s">
        <v>73</v>
      </c>
      <c r="V105" s="10"/>
      <c r="W105" s="10"/>
      <c r="X105" s="10"/>
      <c r="Y105" s="10" t="s">
        <v>73</v>
      </c>
      <c r="Z105" s="10"/>
      <c r="AA105" s="10" t="s">
        <v>75</v>
      </c>
      <c r="AB105" s="12" t="s">
        <v>76</v>
      </c>
      <c r="AC105" s="10" t="s">
        <v>82</v>
      </c>
      <c r="AD105" s="10" t="s">
        <v>94</v>
      </c>
      <c r="AE105" s="13" t="s">
        <v>138</v>
      </c>
      <c r="AF105" s="6" t="s">
        <v>151</v>
      </c>
      <c r="AG105" s="10" t="s">
        <v>82</v>
      </c>
      <c r="AH105" s="10" t="s">
        <v>82</v>
      </c>
      <c r="AI105" s="10"/>
      <c r="AJ105" s="10"/>
      <c r="AK105" s="10"/>
      <c r="AL105" s="10"/>
      <c r="AM105" s="10"/>
      <c r="AN105" s="42"/>
      <c r="AO105" s="42"/>
      <c r="AP105" s="42"/>
      <c r="AQ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42"/>
      <c r="BC105" s="42"/>
      <c r="BD105" s="42"/>
      <c r="BE105" s="42"/>
      <c r="BF105" s="14">
        <v>44880.0</v>
      </c>
      <c r="BG105" s="7" t="s">
        <v>75</v>
      </c>
      <c r="BH105" s="7" t="s">
        <v>104</v>
      </c>
      <c r="BI105" s="15">
        <f t="shared" si="1"/>
        <v>42</v>
      </c>
      <c r="BJ105" s="15" t="str">
        <f t="shared" si="3"/>
        <v>35-55</v>
      </c>
      <c r="BK105" s="15" t="s">
        <v>75</v>
      </c>
      <c r="BL105" s="15" t="s">
        <v>75</v>
      </c>
      <c r="BM105" s="16">
        <v>45596.0</v>
      </c>
      <c r="BN105" s="10"/>
    </row>
    <row r="106" ht="15.75" customHeight="1">
      <c r="A106" s="1">
        <v>119.0</v>
      </c>
      <c r="B106" s="2">
        <v>119.0</v>
      </c>
      <c r="C106" s="17">
        <v>44935.8833843287</v>
      </c>
      <c r="D106" s="18" t="s">
        <v>519</v>
      </c>
      <c r="E106" s="19">
        <v>21901.0</v>
      </c>
      <c r="F106" s="18" t="s">
        <v>67</v>
      </c>
      <c r="G106" s="18" t="s">
        <v>520</v>
      </c>
      <c r="H106" s="26" t="s">
        <v>521</v>
      </c>
      <c r="I106" s="18" t="s">
        <v>221</v>
      </c>
      <c r="J106" s="18" t="s">
        <v>85</v>
      </c>
      <c r="K106" s="18" t="s">
        <v>86</v>
      </c>
      <c r="L106" s="18">
        <v>61.0</v>
      </c>
      <c r="M106" s="18" t="s">
        <v>123</v>
      </c>
      <c r="N106" s="18" t="s">
        <v>73</v>
      </c>
      <c r="O106" s="18"/>
      <c r="P106" s="18" t="s">
        <v>210</v>
      </c>
      <c r="Q106" s="18" t="s">
        <v>522</v>
      </c>
      <c r="R106" s="18" t="s">
        <v>73</v>
      </c>
      <c r="S106" s="18" t="s">
        <v>73</v>
      </c>
      <c r="T106" s="18" t="s">
        <v>73</v>
      </c>
      <c r="U106" s="18" t="s">
        <v>75</v>
      </c>
      <c r="V106" s="18" t="s">
        <v>523</v>
      </c>
      <c r="W106" s="18" t="s">
        <v>524</v>
      </c>
      <c r="X106" s="18"/>
      <c r="Y106" s="18"/>
      <c r="Z106" s="18"/>
      <c r="AA106" s="18"/>
      <c r="AB106" s="20"/>
      <c r="AC106" s="18"/>
      <c r="AD106" s="18"/>
      <c r="AE106" s="18"/>
      <c r="AF106" s="6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4">
        <v>45657.0</v>
      </c>
      <c r="BG106" s="7" t="s">
        <v>73</v>
      </c>
      <c r="BH106" s="7"/>
      <c r="BI106" s="15">
        <f t="shared" si="1"/>
        <v>65</v>
      </c>
      <c r="BJ106" s="15" t="str">
        <f t="shared" si="3"/>
        <v>&gt;55</v>
      </c>
      <c r="BK106" s="15"/>
      <c r="BL106" s="7"/>
      <c r="BM106" s="7"/>
      <c r="BN106" s="18"/>
    </row>
    <row r="107" ht="15.75" customHeight="1">
      <c r="A107" s="1">
        <v>120.0</v>
      </c>
      <c r="B107" s="2">
        <v>120.0</v>
      </c>
      <c r="C107" s="9">
        <v>44936.66844340278</v>
      </c>
      <c r="D107" s="10" t="s">
        <v>525</v>
      </c>
      <c r="E107" s="11">
        <v>21829.0</v>
      </c>
      <c r="F107" s="10" t="s">
        <v>67</v>
      </c>
      <c r="G107" s="10" t="s">
        <v>526</v>
      </c>
      <c r="H107" s="10">
        <v>1.151551094E9</v>
      </c>
      <c r="I107" s="10" t="s">
        <v>92</v>
      </c>
      <c r="J107" s="10" t="s">
        <v>85</v>
      </c>
      <c r="K107" s="10" t="s">
        <v>71</v>
      </c>
      <c r="L107" s="10">
        <v>78.0</v>
      </c>
      <c r="M107" s="10" t="s">
        <v>271</v>
      </c>
      <c r="N107" s="10" t="s">
        <v>73</v>
      </c>
      <c r="O107" s="10"/>
      <c r="P107" s="10" t="s">
        <v>74</v>
      </c>
      <c r="Q107" s="10"/>
      <c r="R107" s="10" t="s">
        <v>73</v>
      </c>
      <c r="S107" s="10" t="s">
        <v>73</v>
      </c>
      <c r="T107" s="10" t="s">
        <v>73</v>
      </c>
      <c r="U107" s="10" t="s">
        <v>73</v>
      </c>
      <c r="V107" s="10"/>
      <c r="W107" s="10"/>
      <c r="X107" s="10"/>
      <c r="Y107" s="10" t="s">
        <v>73</v>
      </c>
      <c r="Z107" s="10"/>
      <c r="AA107" s="10" t="s">
        <v>75</v>
      </c>
      <c r="AB107" s="12" t="s">
        <v>112</v>
      </c>
      <c r="AC107" s="10" t="s">
        <v>82</v>
      </c>
      <c r="AD107" s="10" t="s">
        <v>78</v>
      </c>
      <c r="AE107" s="13" t="s">
        <v>79</v>
      </c>
      <c r="AF107" s="6"/>
      <c r="AG107" s="10" t="s">
        <v>81</v>
      </c>
      <c r="AH107" s="10" t="s">
        <v>77</v>
      </c>
      <c r="AI107" s="21" t="s">
        <v>527</v>
      </c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4">
        <v>44971.0</v>
      </c>
      <c r="BG107" s="7" t="s">
        <v>75</v>
      </c>
      <c r="BH107" s="7" t="s">
        <v>104</v>
      </c>
      <c r="BI107" s="15">
        <f t="shared" si="1"/>
        <v>64</v>
      </c>
      <c r="BJ107" s="15" t="str">
        <f t="shared" si="3"/>
        <v>&gt;55</v>
      </c>
      <c r="BK107" s="15"/>
      <c r="BL107" s="7"/>
      <c r="BM107" s="7"/>
      <c r="BN107" s="10"/>
    </row>
    <row r="108" ht="15.75" customHeight="1">
      <c r="A108" s="1">
        <v>121.0</v>
      </c>
      <c r="B108" s="2">
        <v>121.0</v>
      </c>
      <c r="C108" s="17">
        <v>44936.73529413194</v>
      </c>
      <c r="D108" s="18" t="s">
        <v>528</v>
      </c>
      <c r="E108" s="19">
        <v>22014.0</v>
      </c>
      <c r="F108" s="18" t="s">
        <v>67</v>
      </c>
      <c r="G108" s="18" t="s">
        <v>529</v>
      </c>
      <c r="H108" s="18">
        <v>1.136968228E9</v>
      </c>
      <c r="I108" s="18" t="s">
        <v>449</v>
      </c>
      <c r="J108" s="18" t="s">
        <v>109</v>
      </c>
      <c r="K108" s="18" t="s">
        <v>86</v>
      </c>
      <c r="L108" s="18">
        <v>70.0</v>
      </c>
      <c r="M108" s="18" t="s">
        <v>181</v>
      </c>
      <c r="N108" s="18" t="s">
        <v>73</v>
      </c>
      <c r="O108" s="18"/>
      <c r="P108" s="18" t="s">
        <v>74</v>
      </c>
      <c r="Q108" s="18"/>
      <c r="R108" s="18" t="s">
        <v>73</v>
      </c>
      <c r="S108" s="18" t="s">
        <v>73</v>
      </c>
      <c r="T108" s="18" t="s">
        <v>73</v>
      </c>
      <c r="U108" s="18" t="s">
        <v>75</v>
      </c>
      <c r="V108" s="18" t="s">
        <v>530</v>
      </c>
      <c r="W108" s="18" t="s">
        <v>531</v>
      </c>
      <c r="X108" s="18"/>
      <c r="Y108" s="18"/>
      <c r="Z108" s="18"/>
      <c r="AA108" s="18"/>
      <c r="AB108" s="20"/>
      <c r="AC108" s="18"/>
      <c r="AD108" s="18"/>
      <c r="AE108" s="18"/>
      <c r="AF108" s="6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4">
        <v>45657.0</v>
      </c>
      <c r="BG108" s="7" t="s">
        <v>73</v>
      </c>
      <c r="BH108" s="7"/>
      <c r="BI108" s="15">
        <f t="shared" si="1"/>
        <v>64</v>
      </c>
      <c r="BJ108" s="15" t="str">
        <f t="shared" si="3"/>
        <v>&gt;55</v>
      </c>
      <c r="BK108" s="15"/>
      <c r="BL108" s="7"/>
      <c r="BM108" s="7"/>
      <c r="BN108" s="18"/>
    </row>
    <row r="109" ht="15.75" customHeight="1">
      <c r="A109" s="1">
        <v>122.0</v>
      </c>
      <c r="B109" s="2">
        <v>122.0</v>
      </c>
      <c r="C109" s="17">
        <v>44936.923902615745</v>
      </c>
      <c r="D109" s="18" t="s">
        <v>532</v>
      </c>
      <c r="E109" s="19">
        <v>22138.0</v>
      </c>
      <c r="F109" s="18" t="s">
        <v>67</v>
      </c>
      <c r="G109" s="18" t="s">
        <v>533</v>
      </c>
      <c r="H109" s="18">
        <v>1.1592789E9</v>
      </c>
      <c r="I109" s="18" t="s">
        <v>221</v>
      </c>
      <c r="J109" s="18" t="s">
        <v>85</v>
      </c>
      <c r="K109" s="18" t="s">
        <v>86</v>
      </c>
      <c r="L109" s="18">
        <v>65.0</v>
      </c>
      <c r="M109" s="18">
        <v>1.62</v>
      </c>
      <c r="N109" s="18" t="s">
        <v>73</v>
      </c>
      <c r="O109" s="18"/>
      <c r="P109" s="18" t="s">
        <v>74</v>
      </c>
      <c r="Q109" s="18"/>
      <c r="R109" s="18" t="s">
        <v>73</v>
      </c>
      <c r="S109" s="18" t="s">
        <v>73</v>
      </c>
      <c r="T109" s="18" t="s">
        <v>73</v>
      </c>
      <c r="U109" s="18" t="s">
        <v>73</v>
      </c>
      <c r="V109" s="18"/>
      <c r="W109" s="18"/>
      <c r="X109" s="18"/>
      <c r="Y109" s="18"/>
      <c r="Z109" s="18"/>
      <c r="AA109" s="18"/>
      <c r="AB109" s="20"/>
      <c r="AC109" s="18"/>
      <c r="AD109" s="18"/>
      <c r="AE109" s="18"/>
      <c r="AF109" s="6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4">
        <v>45657.0</v>
      </c>
      <c r="BG109" s="7" t="s">
        <v>73</v>
      </c>
      <c r="BH109" s="7"/>
      <c r="BI109" s="15">
        <f t="shared" si="1"/>
        <v>64</v>
      </c>
      <c r="BJ109" s="15" t="str">
        <f t="shared" si="3"/>
        <v>&gt;55</v>
      </c>
      <c r="BK109" s="15"/>
      <c r="BL109" s="7"/>
      <c r="BM109" s="7"/>
      <c r="BN109" s="18"/>
    </row>
    <row r="110" ht="15.75" customHeight="1">
      <c r="A110" s="1">
        <v>123.0</v>
      </c>
      <c r="B110" s="2">
        <v>123.0</v>
      </c>
      <c r="C110" s="9">
        <v>44949.45174149306</v>
      </c>
      <c r="D110" s="10" t="s">
        <v>534</v>
      </c>
      <c r="E110" s="11">
        <v>30088.0</v>
      </c>
      <c r="F110" s="10" t="s">
        <v>67</v>
      </c>
      <c r="G110" s="10" t="s">
        <v>535</v>
      </c>
      <c r="H110" s="10">
        <v>1.153894414E9</v>
      </c>
      <c r="I110" s="10" t="s">
        <v>92</v>
      </c>
      <c r="J110" s="10" t="s">
        <v>109</v>
      </c>
      <c r="K110" s="10" t="s">
        <v>71</v>
      </c>
      <c r="L110" s="10">
        <v>44.0</v>
      </c>
      <c r="M110" s="10" t="s">
        <v>265</v>
      </c>
      <c r="N110" s="10" t="s">
        <v>73</v>
      </c>
      <c r="O110" s="10"/>
      <c r="P110" s="10" t="s">
        <v>74</v>
      </c>
      <c r="Q110" s="10"/>
      <c r="R110" s="10" t="s">
        <v>73</v>
      </c>
      <c r="S110" s="10" t="s">
        <v>73</v>
      </c>
      <c r="T110" s="10" t="s">
        <v>73</v>
      </c>
      <c r="U110" s="10" t="s">
        <v>73</v>
      </c>
      <c r="V110" s="10"/>
      <c r="W110" s="10"/>
      <c r="X110" s="10"/>
      <c r="Y110" s="10" t="s">
        <v>73</v>
      </c>
      <c r="Z110" s="10"/>
      <c r="AA110" s="10" t="s">
        <v>73</v>
      </c>
      <c r="AB110" s="12"/>
      <c r="AC110" s="10" t="s">
        <v>82</v>
      </c>
      <c r="AD110" s="10" t="s">
        <v>94</v>
      </c>
      <c r="AE110" s="13" t="s">
        <v>205</v>
      </c>
      <c r="AF110" s="6"/>
      <c r="AG110" s="10" t="s">
        <v>95</v>
      </c>
      <c r="AH110" s="10" t="s">
        <v>82</v>
      </c>
      <c r="AI110" s="10"/>
      <c r="AJ110" s="10"/>
      <c r="AK110" s="10"/>
      <c r="AL110" s="10"/>
      <c r="AM110" s="10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42"/>
      <c r="BF110" s="14">
        <v>44941.0</v>
      </c>
      <c r="BG110" s="7" t="s">
        <v>75</v>
      </c>
      <c r="BH110" s="7" t="s">
        <v>1</v>
      </c>
      <c r="BI110" s="15">
        <f t="shared" si="1"/>
        <v>41</v>
      </c>
      <c r="BJ110" s="15" t="str">
        <f t="shared" si="3"/>
        <v>35-55</v>
      </c>
      <c r="BK110" s="15" t="s">
        <v>75</v>
      </c>
      <c r="BL110" s="47" t="s">
        <v>326</v>
      </c>
      <c r="BM110" s="7"/>
      <c r="BN110" s="10"/>
    </row>
    <row r="111" ht="15.75" customHeight="1">
      <c r="A111" s="1">
        <v>124.0</v>
      </c>
      <c r="B111" s="2">
        <v>124.0</v>
      </c>
      <c r="C111" s="9">
        <v>44949.45878193287</v>
      </c>
      <c r="D111" s="10" t="s">
        <v>536</v>
      </c>
      <c r="E111" s="11">
        <v>32091.0</v>
      </c>
      <c r="F111" s="10" t="s">
        <v>67</v>
      </c>
      <c r="G111" s="10" t="s">
        <v>535</v>
      </c>
      <c r="H111" s="10">
        <v>1.161435097E9</v>
      </c>
      <c r="I111" s="10" t="s">
        <v>449</v>
      </c>
      <c r="J111" s="10" t="s">
        <v>85</v>
      </c>
      <c r="K111" s="10" t="s">
        <v>134</v>
      </c>
      <c r="L111" s="10">
        <v>61.0</v>
      </c>
      <c r="M111" s="10" t="s">
        <v>101</v>
      </c>
      <c r="N111" s="10" t="s">
        <v>75</v>
      </c>
      <c r="O111" s="10" t="s">
        <v>537</v>
      </c>
      <c r="P111" s="10" t="s">
        <v>74</v>
      </c>
      <c r="Q111" s="10"/>
      <c r="R111" s="10" t="s">
        <v>73</v>
      </c>
      <c r="S111" s="10" t="s">
        <v>73</v>
      </c>
      <c r="T111" s="10" t="s">
        <v>73</v>
      </c>
      <c r="U111" s="10" t="s">
        <v>73</v>
      </c>
      <c r="V111" s="10"/>
      <c r="W111" s="10"/>
      <c r="X111" s="10"/>
      <c r="Y111" s="10" t="s">
        <v>73</v>
      </c>
      <c r="Z111" s="10"/>
      <c r="AA111" s="10" t="s">
        <v>75</v>
      </c>
      <c r="AB111" s="12" t="s">
        <v>76</v>
      </c>
      <c r="AC111" s="10" t="s">
        <v>77</v>
      </c>
      <c r="AD111" s="10" t="s">
        <v>94</v>
      </c>
      <c r="AE111" s="13" t="s">
        <v>205</v>
      </c>
      <c r="AF111" s="6"/>
      <c r="AG111" s="10" t="s">
        <v>95</v>
      </c>
      <c r="AH111" s="10" t="s">
        <v>82</v>
      </c>
      <c r="AI111" s="10"/>
      <c r="AJ111" s="10"/>
      <c r="AK111" s="10"/>
      <c r="AL111" s="10"/>
      <c r="AM111" s="10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2"/>
      <c r="BF111" s="14">
        <v>44941.0</v>
      </c>
      <c r="BG111" s="7" t="s">
        <v>75</v>
      </c>
      <c r="BH111" s="7" t="s">
        <v>1</v>
      </c>
      <c r="BI111" s="15">
        <f t="shared" si="1"/>
        <v>36</v>
      </c>
      <c r="BJ111" s="15" t="str">
        <f t="shared" si="3"/>
        <v>35-55</v>
      </c>
      <c r="BK111" s="15" t="s">
        <v>75</v>
      </c>
      <c r="BL111" s="15" t="s">
        <v>75</v>
      </c>
      <c r="BM111" s="18" t="s">
        <v>447</v>
      </c>
      <c r="BN111" s="10"/>
    </row>
    <row r="112" ht="15.75" customHeight="1">
      <c r="A112" s="1">
        <v>125.0</v>
      </c>
      <c r="B112" s="2">
        <v>125.0</v>
      </c>
      <c r="C112" s="9">
        <v>44949.475422557865</v>
      </c>
      <c r="D112" s="10" t="s">
        <v>538</v>
      </c>
      <c r="E112" s="11">
        <v>34168.0</v>
      </c>
      <c r="F112" s="10" t="s">
        <v>67</v>
      </c>
      <c r="G112" s="10" t="s">
        <v>535</v>
      </c>
      <c r="H112" s="10">
        <v>1.132997452E9</v>
      </c>
      <c r="I112" s="10" t="s">
        <v>69</v>
      </c>
      <c r="J112" s="10" t="s">
        <v>210</v>
      </c>
      <c r="K112" s="10" t="s">
        <v>71</v>
      </c>
      <c r="L112" s="10">
        <v>57.0</v>
      </c>
      <c r="M112" s="10" t="s">
        <v>147</v>
      </c>
      <c r="N112" s="10" t="s">
        <v>75</v>
      </c>
      <c r="O112" s="10" t="s">
        <v>539</v>
      </c>
      <c r="P112" s="10" t="s">
        <v>74</v>
      </c>
      <c r="Q112" s="10"/>
      <c r="R112" s="10" t="s">
        <v>73</v>
      </c>
      <c r="S112" s="10" t="s">
        <v>73</v>
      </c>
      <c r="T112" s="10" t="s">
        <v>73</v>
      </c>
      <c r="U112" s="10" t="s">
        <v>75</v>
      </c>
      <c r="V112" s="10" t="s">
        <v>540</v>
      </c>
      <c r="W112" s="10" t="s">
        <v>541</v>
      </c>
      <c r="X112" s="10"/>
      <c r="Y112" s="10" t="s">
        <v>73</v>
      </c>
      <c r="Z112" s="10"/>
      <c r="AA112" s="10" t="s">
        <v>73</v>
      </c>
      <c r="AB112" s="12"/>
      <c r="AC112" s="10" t="s">
        <v>82</v>
      </c>
      <c r="AD112" s="10" t="s">
        <v>94</v>
      </c>
      <c r="AE112" s="13" t="s">
        <v>205</v>
      </c>
      <c r="AF112" s="6"/>
      <c r="AG112" s="10" t="s">
        <v>82</v>
      </c>
      <c r="AH112" s="10" t="s">
        <v>82</v>
      </c>
      <c r="AI112" s="10"/>
      <c r="AJ112" s="10"/>
      <c r="AK112" s="10"/>
      <c r="AL112" s="10"/>
      <c r="AM112" s="10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2"/>
      <c r="BF112" s="14">
        <v>44941.0</v>
      </c>
      <c r="BG112" s="7" t="s">
        <v>75</v>
      </c>
      <c r="BH112" s="7" t="s">
        <v>1</v>
      </c>
      <c r="BI112" s="15">
        <f t="shared" si="1"/>
        <v>30</v>
      </c>
      <c r="BJ112" s="15" t="str">
        <f t="shared" si="3"/>
        <v>18-35</v>
      </c>
      <c r="BK112" s="15" t="s">
        <v>75</v>
      </c>
      <c r="BL112" s="15" t="s">
        <v>75</v>
      </c>
      <c r="BM112" s="18" t="s">
        <v>447</v>
      </c>
      <c r="BN112" s="10"/>
    </row>
    <row r="113" ht="15.75" customHeight="1">
      <c r="A113" s="1">
        <v>126.0</v>
      </c>
      <c r="B113" s="2">
        <v>126.0</v>
      </c>
      <c r="C113" s="9">
        <v>44949.49064697917</v>
      </c>
      <c r="D113" s="10" t="s">
        <v>542</v>
      </c>
      <c r="E113" s="11">
        <v>23113.0</v>
      </c>
      <c r="F113" s="10" t="s">
        <v>67</v>
      </c>
      <c r="G113" s="10" t="s">
        <v>535</v>
      </c>
      <c r="H113" s="10">
        <v>1.158277909E9</v>
      </c>
      <c r="I113" s="10" t="s">
        <v>92</v>
      </c>
      <c r="J113" s="10" t="s">
        <v>85</v>
      </c>
      <c r="K113" s="10" t="s">
        <v>86</v>
      </c>
      <c r="L113" s="10">
        <v>118.0</v>
      </c>
      <c r="M113" s="10" t="s">
        <v>194</v>
      </c>
      <c r="N113" s="10" t="s">
        <v>75</v>
      </c>
      <c r="O113" s="10" t="s">
        <v>543</v>
      </c>
      <c r="P113" s="10" t="s">
        <v>74</v>
      </c>
      <c r="Q113" s="10"/>
      <c r="R113" s="10" t="s">
        <v>73</v>
      </c>
      <c r="S113" s="10" t="s">
        <v>73</v>
      </c>
      <c r="T113" s="10" t="s">
        <v>73</v>
      </c>
      <c r="U113" s="10" t="s">
        <v>75</v>
      </c>
      <c r="V113" s="10" t="s">
        <v>544</v>
      </c>
      <c r="W113" s="10" t="s">
        <v>545</v>
      </c>
      <c r="X113" s="10"/>
      <c r="Y113" s="10" t="s">
        <v>73</v>
      </c>
      <c r="Z113" s="10"/>
      <c r="AA113" s="10" t="s">
        <v>73</v>
      </c>
      <c r="AB113" s="12"/>
      <c r="AC113" s="10" t="s">
        <v>82</v>
      </c>
      <c r="AD113" s="10" t="s">
        <v>94</v>
      </c>
      <c r="AE113" s="13" t="s">
        <v>205</v>
      </c>
      <c r="AF113" s="6"/>
      <c r="AG113" s="10" t="s">
        <v>82</v>
      </c>
      <c r="AH113" s="10" t="s">
        <v>82</v>
      </c>
      <c r="AI113" s="10"/>
      <c r="AJ113" s="10"/>
      <c r="AK113" s="10"/>
      <c r="AL113" s="10"/>
      <c r="AM113" s="10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42"/>
      <c r="BF113" s="14">
        <v>44941.0</v>
      </c>
      <c r="BG113" s="7" t="s">
        <v>75</v>
      </c>
      <c r="BH113" s="7" t="s">
        <v>1</v>
      </c>
      <c r="BI113" s="15">
        <f t="shared" si="1"/>
        <v>60</v>
      </c>
      <c r="BJ113" s="15" t="str">
        <f t="shared" si="3"/>
        <v>&gt;55</v>
      </c>
      <c r="BK113" s="15" t="s">
        <v>75</v>
      </c>
      <c r="BL113" s="47" t="s">
        <v>326</v>
      </c>
      <c r="BM113" s="7"/>
      <c r="BN113" s="10"/>
    </row>
    <row r="114" ht="15.75" customHeight="1">
      <c r="A114" s="1">
        <v>127.0</v>
      </c>
      <c r="B114" s="2">
        <v>127.0</v>
      </c>
      <c r="C114" s="9">
        <v>44949.568142881944</v>
      </c>
      <c r="D114" s="10" t="s">
        <v>546</v>
      </c>
      <c r="E114" s="11">
        <v>35492.0</v>
      </c>
      <c r="F114" s="10" t="s">
        <v>67</v>
      </c>
      <c r="G114" s="10" t="s">
        <v>535</v>
      </c>
      <c r="H114" s="10">
        <v>1.162956335E9</v>
      </c>
      <c r="I114" s="10" t="s">
        <v>449</v>
      </c>
      <c r="J114" s="10" t="s">
        <v>85</v>
      </c>
      <c r="K114" s="10" t="s">
        <v>134</v>
      </c>
      <c r="L114" s="10">
        <v>67.0</v>
      </c>
      <c r="M114" s="10" t="s">
        <v>163</v>
      </c>
      <c r="N114" s="10" t="s">
        <v>75</v>
      </c>
      <c r="O114" s="10" t="s">
        <v>547</v>
      </c>
      <c r="P114" s="10" t="s">
        <v>74</v>
      </c>
      <c r="Q114" s="10"/>
      <c r="R114" s="10" t="s">
        <v>73</v>
      </c>
      <c r="S114" s="10" t="s">
        <v>73</v>
      </c>
      <c r="T114" s="10" t="s">
        <v>73</v>
      </c>
      <c r="U114" s="10" t="s">
        <v>73</v>
      </c>
      <c r="V114" s="10"/>
      <c r="W114" s="10"/>
      <c r="X114" s="10"/>
      <c r="Y114" s="10" t="s">
        <v>75</v>
      </c>
      <c r="Z114" s="10" t="s">
        <v>483</v>
      </c>
      <c r="AA114" s="10" t="s">
        <v>75</v>
      </c>
      <c r="AB114" s="12" t="s">
        <v>76</v>
      </c>
      <c r="AC114" s="10" t="s">
        <v>82</v>
      </c>
      <c r="AD114" s="10" t="s">
        <v>78</v>
      </c>
      <c r="AE114" s="13" t="s">
        <v>205</v>
      </c>
      <c r="AF114" s="6"/>
      <c r="AG114" s="10" t="s">
        <v>82</v>
      </c>
      <c r="AH114" s="10" t="s">
        <v>82</v>
      </c>
      <c r="AI114" s="10"/>
      <c r="AJ114" s="10"/>
      <c r="AK114" s="10"/>
      <c r="AL114" s="10"/>
      <c r="AM114" s="10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42"/>
      <c r="BC114" s="42"/>
      <c r="BD114" s="42"/>
      <c r="BE114" s="42"/>
      <c r="BF114" s="14">
        <v>44941.0</v>
      </c>
      <c r="BG114" s="7" t="s">
        <v>75</v>
      </c>
      <c r="BH114" s="7" t="s">
        <v>1</v>
      </c>
      <c r="BI114" s="15">
        <f t="shared" si="1"/>
        <v>26</v>
      </c>
      <c r="BJ114" s="15" t="str">
        <f t="shared" si="3"/>
        <v>18-35</v>
      </c>
      <c r="BK114" s="15"/>
      <c r="BL114" s="7"/>
      <c r="BM114" s="7"/>
      <c r="BN114" s="10"/>
    </row>
    <row r="115" ht="15.75" customHeight="1">
      <c r="A115" s="1">
        <v>128.0</v>
      </c>
      <c r="B115" s="2">
        <v>128.0</v>
      </c>
      <c r="C115" s="9">
        <v>44949.61725556713</v>
      </c>
      <c r="D115" s="10" t="s">
        <v>548</v>
      </c>
      <c r="E115" s="11">
        <v>24672.0</v>
      </c>
      <c r="F115" s="10" t="s">
        <v>67</v>
      </c>
      <c r="G115" s="10" t="s">
        <v>535</v>
      </c>
      <c r="H115" s="10">
        <v>1.151567071E9</v>
      </c>
      <c r="I115" s="10" t="s">
        <v>92</v>
      </c>
      <c r="J115" s="10" t="s">
        <v>85</v>
      </c>
      <c r="K115" s="10" t="s">
        <v>86</v>
      </c>
      <c r="L115" s="10">
        <v>60.0</v>
      </c>
      <c r="M115" s="10" t="s">
        <v>295</v>
      </c>
      <c r="N115" s="10" t="s">
        <v>75</v>
      </c>
      <c r="O115" s="10"/>
      <c r="P115" s="10" t="s">
        <v>74</v>
      </c>
      <c r="Q115" s="10"/>
      <c r="R115" s="10" t="s">
        <v>73</v>
      </c>
      <c r="S115" s="10" t="s">
        <v>73</v>
      </c>
      <c r="T115" s="10" t="s">
        <v>73</v>
      </c>
      <c r="U115" s="10" t="s">
        <v>75</v>
      </c>
      <c r="V115" s="10"/>
      <c r="W115" s="10"/>
      <c r="X115" s="10"/>
      <c r="Y115" s="10" t="s">
        <v>73</v>
      </c>
      <c r="Z115" s="10"/>
      <c r="AA115" s="10" t="s">
        <v>73</v>
      </c>
      <c r="AB115" s="12"/>
      <c r="AC115" s="10" t="s">
        <v>82</v>
      </c>
      <c r="AD115" s="10" t="s">
        <v>94</v>
      </c>
      <c r="AE115" s="13" t="s">
        <v>138</v>
      </c>
      <c r="AF115" s="6"/>
      <c r="AG115" s="10" t="s">
        <v>95</v>
      </c>
      <c r="AH115" s="10" t="s">
        <v>77</v>
      </c>
      <c r="AI115" s="21" t="s">
        <v>549</v>
      </c>
      <c r="AJ115" s="10"/>
      <c r="AK115" s="10"/>
      <c r="AL115" s="10"/>
      <c r="AM115" s="10"/>
      <c r="AN115" s="42"/>
      <c r="AO115" s="42"/>
      <c r="AP115" s="42"/>
      <c r="AQ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42"/>
      <c r="BC115" s="42"/>
      <c r="BD115" s="42"/>
      <c r="BE115" s="42"/>
      <c r="BF115" s="14">
        <v>44941.0</v>
      </c>
      <c r="BG115" s="7" t="s">
        <v>75</v>
      </c>
      <c r="BH115" s="7" t="s">
        <v>1</v>
      </c>
      <c r="BI115" s="15">
        <f t="shared" si="1"/>
        <v>56</v>
      </c>
      <c r="BJ115" s="15" t="str">
        <f t="shared" si="3"/>
        <v>&gt;55</v>
      </c>
      <c r="BK115" s="15" t="s">
        <v>75</v>
      </c>
      <c r="BL115" s="47" t="s">
        <v>326</v>
      </c>
      <c r="BM115" s="7"/>
      <c r="BN115" s="10"/>
    </row>
    <row r="116" ht="15.75" customHeight="1">
      <c r="A116" s="1">
        <v>129.0</v>
      </c>
      <c r="B116" s="2">
        <v>129.0</v>
      </c>
      <c r="C116" s="9">
        <v>44949.62416060185</v>
      </c>
      <c r="D116" s="10" t="s">
        <v>550</v>
      </c>
      <c r="E116" s="11">
        <v>29312.0</v>
      </c>
      <c r="F116" s="10" t="s">
        <v>106</v>
      </c>
      <c r="G116" s="10" t="s">
        <v>535</v>
      </c>
      <c r="H116" s="10">
        <v>1.168485327E9</v>
      </c>
      <c r="I116" s="10" t="s">
        <v>92</v>
      </c>
      <c r="J116" s="10" t="s">
        <v>85</v>
      </c>
      <c r="K116" s="10" t="s">
        <v>86</v>
      </c>
      <c r="L116" s="10">
        <v>70.0</v>
      </c>
      <c r="M116" s="10" t="s">
        <v>72</v>
      </c>
      <c r="N116" s="10" t="s">
        <v>73</v>
      </c>
      <c r="O116" s="10"/>
      <c r="P116" s="10" t="s">
        <v>74</v>
      </c>
      <c r="Q116" s="10"/>
      <c r="R116" s="10" t="s">
        <v>73</v>
      </c>
      <c r="S116" s="10" t="s">
        <v>73</v>
      </c>
      <c r="T116" s="10" t="s">
        <v>73</v>
      </c>
      <c r="U116" s="10" t="s">
        <v>75</v>
      </c>
      <c r="V116" s="10" t="s">
        <v>551</v>
      </c>
      <c r="W116" s="10" t="s">
        <v>137</v>
      </c>
      <c r="X116" s="10"/>
      <c r="Y116" s="10" t="s">
        <v>73</v>
      </c>
      <c r="Z116" s="10"/>
      <c r="AA116" s="10" t="s">
        <v>73</v>
      </c>
      <c r="AB116" s="12"/>
      <c r="AC116" s="10" t="s">
        <v>77</v>
      </c>
      <c r="AD116" s="10" t="s">
        <v>78</v>
      </c>
      <c r="AE116" s="13" t="s">
        <v>138</v>
      </c>
      <c r="AF116" s="6"/>
      <c r="AG116" s="10" t="s">
        <v>82</v>
      </c>
      <c r="AH116" s="10" t="s">
        <v>82</v>
      </c>
      <c r="AI116" s="10"/>
      <c r="AJ116" s="10"/>
      <c r="AK116" s="10"/>
      <c r="AL116" s="10"/>
      <c r="AM116" s="10"/>
      <c r="AN116" s="42"/>
      <c r="AO116" s="42"/>
      <c r="AP116" s="42"/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42"/>
      <c r="BC116" s="42"/>
      <c r="BD116" s="42"/>
      <c r="BE116" s="42"/>
      <c r="BF116" s="14">
        <v>44941.0</v>
      </c>
      <c r="BG116" s="7" t="s">
        <v>75</v>
      </c>
      <c r="BH116" s="7" t="s">
        <v>1</v>
      </c>
      <c r="BI116" s="15">
        <f t="shared" si="1"/>
        <v>43</v>
      </c>
      <c r="BJ116" s="15" t="str">
        <f t="shared" si="3"/>
        <v>35-55</v>
      </c>
      <c r="BK116" s="15" t="s">
        <v>75</v>
      </c>
      <c r="BL116" s="47" t="s">
        <v>326</v>
      </c>
      <c r="BM116" s="7"/>
      <c r="BN116" s="10"/>
    </row>
    <row r="117" ht="15.75" customHeight="1">
      <c r="A117" s="1">
        <v>130.0</v>
      </c>
      <c r="B117" s="2">
        <v>130.0</v>
      </c>
      <c r="C117" s="9">
        <v>44949.63121881944</v>
      </c>
      <c r="D117" s="10" t="s">
        <v>552</v>
      </c>
      <c r="E117" s="11">
        <v>22283.0</v>
      </c>
      <c r="F117" s="10" t="s">
        <v>67</v>
      </c>
      <c r="G117" s="10" t="s">
        <v>535</v>
      </c>
      <c r="H117" s="10">
        <v>1.156008324E9</v>
      </c>
      <c r="I117" s="10" t="s">
        <v>449</v>
      </c>
      <c r="J117" s="10" t="s">
        <v>85</v>
      </c>
      <c r="K117" s="10" t="s">
        <v>134</v>
      </c>
      <c r="L117" s="10">
        <v>70.0</v>
      </c>
      <c r="M117" s="10" t="s">
        <v>101</v>
      </c>
      <c r="N117" s="10" t="s">
        <v>75</v>
      </c>
      <c r="O117" s="10" t="s">
        <v>553</v>
      </c>
      <c r="P117" s="10" t="s">
        <v>74</v>
      </c>
      <c r="Q117" s="10"/>
      <c r="R117" s="10" t="s">
        <v>73</v>
      </c>
      <c r="S117" s="10" t="s">
        <v>73</v>
      </c>
      <c r="T117" s="10" t="s">
        <v>73</v>
      </c>
      <c r="U117" s="10" t="s">
        <v>75</v>
      </c>
      <c r="V117" s="10" t="s">
        <v>554</v>
      </c>
      <c r="W117" s="10" t="s">
        <v>137</v>
      </c>
      <c r="X117" s="10"/>
      <c r="Y117" s="10" t="s">
        <v>73</v>
      </c>
      <c r="Z117" s="10"/>
      <c r="AA117" s="10" t="s">
        <v>73</v>
      </c>
      <c r="AB117" s="12"/>
      <c r="AC117" s="10" t="s">
        <v>77</v>
      </c>
      <c r="AD117" s="10" t="s">
        <v>94</v>
      </c>
      <c r="AE117" s="13" t="s">
        <v>138</v>
      </c>
      <c r="AF117" s="6"/>
      <c r="AG117" s="10" t="s">
        <v>82</v>
      </c>
      <c r="AH117" s="10" t="s">
        <v>82</v>
      </c>
      <c r="AI117" s="10"/>
      <c r="AJ117" s="10"/>
      <c r="AK117" s="10"/>
      <c r="AL117" s="10"/>
      <c r="AM117" s="10"/>
      <c r="AN117" s="42"/>
      <c r="AO117" s="42"/>
      <c r="AP117" s="42"/>
      <c r="AQ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  <c r="BB117" s="42"/>
      <c r="BC117" s="42"/>
      <c r="BD117" s="42"/>
      <c r="BE117" s="42"/>
      <c r="BF117" s="14">
        <v>44941.0</v>
      </c>
      <c r="BG117" s="7" t="s">
        <v>75</v>
      </c>
      <c r="BH117" s="7" t="s">
        <v>1</v>
      </c>
      <c r="BI117" s="15">
        <f t="shared" si="1"/>
        <v>62</v>
      </c>
      <c r="BJ117" s="15" t="str">
        <f t="shared" si="3"/>
        <v>&gt;55</v>
      </c>
      <c r="BK117" s="15" t="s">
        <v>75</v>
      </c>
      <c r="BL117" s="15" t="s">
        <v>75</v>
      </c>
      <c r="BM117" s="18" t="s">
        <v>447</v>
      </c>
      <c r="BN117" s="10"/>
    </row>
    <row r="118" ht="15.75" customHeight="1">
      <c r="A118" s="1">
        <v>131.0</v>
      </c>
      <c r="B118" s="2">
        <v>131.0</v>
      </c>
      <c r="C118" s="9">
        <v>44949.6352610301</v>
      </c>
      <c r="D118" s="10" t="s">
        <v>555</v>
      </c>
      <c r="E118" s="11">
        <v>26366.0</v>
      </c>
      <c r="F118" s="10" t="s">
        <v>67</v>
      </c>
      <c r="G118" s="10" t="s">
        <v>535</v>
      </c>
      <c r="H118" s="10">
        <v>1.161763546E9</v>
      </c>
      <c r="I118" s="10" t="s">
        <v>92</v>
      </c>
      <c r="J118" s="10" t="s">
        <v>85</v>
      </c>
      <c r="K118" s="10" t="s">
        <v>71</v>
      </c>
      <c r="L118" s="10">
        <v>85.0</v>
      </c>
      <c r="M118" s="10" t="s">
        <v>177</v>
      </c>
      <c r="N118" s="10" t="s">
        <v>75</v>
      </c>
      <c r="O118" s="10" t="s">
        <v>556</v>
      </c>
      <c r="P118" s="10" t="s">
        <v>74</v>
      </c>
      <c r="Q118" s="10"/>
      <c r="R118" s="10" t="s">
        <v>73</v>
      </c>
      <c r="S118" s="10" t="s">
        <v>73</v>
      </c>
      <c r="T118" s="10" t="s">
        <v>73</v>
      </c>
      <c r="U118" s="10" t="s">
        <v>75</v>
      </c>
      <c r="V118" s="10" t="s">
        <v>554</v>
      </c>
      <c r="W118" s="10" t="s">
        <v>557</v>
      </c>
      <c r="X118" s="10"/>
      <c r="Y118" s="10" t="s">
        <v>73</v>
      </c>
      <c r="Z118" s="10"/>
      <c r="AA118" s="10" t="s">
        <v>73</v>
      </c>
      <c r="AB118" s="12"/>
      <c r="AC118" s="10" t="s">
        <v>77</v>
      </c>
      <c r="AD118" s="10" t="s">
        <v>78</v>
      </c>
      <c r="AE118" s="13" t="s">
        <v>205</v>
      </c>
      <c r="AF118" s="6"/>
      <c r="AG118" s="10" t="s">
        <v>82</v>
      </c>
      <c r="AH118" s="10" t="s">
        <v>82</v>
      </c>
      <c r="AI118" s="10"/>
      <c r="AJ118" s="10"/>
      <c r="AK118" s="10"/>
      <c r="AL118" s="10"/>
      <c r="AM118" s="10"/>
      <c r="AN118" s="42"/>
      <c r="AO118" s="42"/>
      <c r="AP118" s="42"/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42"/>
      <c r="BC118" s="42"/>
      <c r="BD118" s="42"/>
      <c r="BE118" s="42"/>
      <c r="BF118" s="14">
        <v>44941.0</v>
      </c>
      <c r="BG118" s="7" t="s">
        <v>75</v>
      </c>
      <c r="BH118" s="7" t="s">
        <v>1</v>
      </c>
      <c r="BI118" s="15">
        <f t="shared" si="1"/>
        <v>51</v>
      </c>
      <c r="BJ118" s="15" t="str">
        <f t="shared" si="3"/>
        <v>35-55</v>
      </c>
      <c r="BK118" s="15" t="s">
        <v>75</v>
      </c>
      <c r="BL118" s="15" t="s">
        <v>75</v>
      </c>
      <c r="BM118" s="18" t="s">
        <v>447</v>
      </c>
      <c r="BN118" s="10"/>
    </row>
    <row r="119" ht="15.75" customHeight="1">
      <c r="A119" s="1">
        <v>132.0</v>
      </c>
      <c r="B119" s="2">
        <v>132.0</v>
      </c>
      <c r="C119" s="9">
        <v>44949.67666577546</v>
      </c>
      <c r="D119" s="10" t="s">
        <v>558</v>
      </c>
      <c r="E119" s="11">
        <v>36758.0</v>
      </c>
      <c r="F119" s="10" t="s">
        <v>67</v>
      </c>
      <c r="G119" s="10" t="s">
        <v>535</v>
      </c>
      <c r="H119" s="10">
        <v>1.127827176E9</v>
      </c>
      <c r="I119" s="10" t="s">
        <v>92</v>
      </c>
      <c r="J119" s="10" t="s">
        <v>85</v>
      </c>
      <c r="K119" s="10" t="s">
        <v>134</v>
      </c>
      <c r="L119" s="10">
        <v>50.0</v>
      </c>
      <c r="M119" s="10" t="s">
        <v>101</v>
      </c>
      <c r="N119" s="10" t="s">
        <v>73</v>
      </c>
      <c r="O119" s="10"/>
      <c r="P119" s="10" t="s">
        <v>74</v>
      </c>
      <c r="Q119" s="10"/>
      <c r="R119" s="10" t="s">
        <v>73</v>
      </c>
      <c r="S119" s="10" t="s">
        <v>73</v>
      </c>
      <c r="T119" s="10" t="s">
        <v>73</v>
      </c>
      <c r="U119" s="10" t="s">
        <v>73</v>
      </c>
      <c r="V119" s="10"/>
      <c r="W119" s="10"/>
      <c r="X119" s="10"/>
      <c r="Y119" s="10" t="s">
        <v>73</v>
      </c>
      <c r="Z119" s="10"/>
      <c r="AA119" s="10" t="s">
        <v>73</v>
      </c>
      <c r="AB119" s="12"/>
      <c r="AC119" s="10" t="s">
        <v>82</v>
      </c>
      <c r="AD119" s="10" t="s">
        <v>78</v>
      </c>
      <c r="AE119" s="13" t="s">
        <v>138</v>
      </c>
      <c r="AF119" s="6"/>
      <c r="AG119" s="10" t="s">
        <v>82</v>
      </c>
      <c r="AH119" s="10" t="s">
        <v>82</v>
      </c>
      <c r="AI119" s="10"/>
      <c r="AJ119" s="10"/>
      <c r="AK119" s="10"/>
      <c r="AL119" s="10"/>
      <c r="AM119" s="10"/>
      <c r="AN119" s="42"/>
      <c r="AO119" s="42"/>
      <c r="AP119" s="42"/>
      <c r="AQ119" s="42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  <c r="BB119" s="42"/>
      <c r="BC119" s="42"/>
      <c r="BD119" s="42"/>
      <c r="BE119" s="42"/>
      <c r="BF119" s="14">
        <v>44941.0</v>
      </c>
      <c r="BG119" s="7" t="s">
        <v>75</v>
      </c>
      <c r="BH119" s="7" t="s">
        <v>1</v>
      </c>
      <c r="BI119" s="15">
        <f t="shared" si="1"/>
        <v>23</v>
      </c>
      <c r="BJ119" s="15" t="str">
        <f t="shared" si="3"/>
        <v>18-35</v>
      </c>
      <c r="BK119" s="15" t="s">
        <v>75</v>
      </c>
      <c r="BL119" s="15" t="s">
        <v>75</v>
      </c>
      <c r="BM119" s="18" t="s">
        <v>447</v>
      </c>
      <c r="BN119" s="10"/>
    </row>
    <row r="120" ht="15.75" customHeight="1">
      <c r="A120" s="1">
        <v>133.0</v>
      </c>
      <c r="B120" s="2">
        <v>133.0</v>
      </c>
      <c r="C120" s="9">
        <v>44949.6844332176</v>
      </c>
      <c r="D120" s="10" t="s">
        <v>559</v>
      </c>
      <c r="E120" s="11">
        <v>35680.0</v>
      </c>
      <c r="F120" s="10" t="s">
        <v>106</v>
      </c>
      <c r="G120" s="10" t="s">
        <v>535</v>
      </c>
      <c r="H120" s="10">
        <v>1.130885079E9</v>
      </c>
      <c r="I120" s="10" t="s">
        <v>449</v>
      </c>
      <c r="J120" s="10" t="s">
        <v>85</v>
      </c>
      <c r="K120" s="10" t="s">
        <v>134</v>
      </c>
      <c r="L120" s="10">
        <v>60.0</v>
      </c>
      <c r="M120" s="10" t="s">
        <v>147</v>
      </c>
      <c r="N120" s="10" t="s">
        <v>73</v>
      </c>
      <c r="O120" s="10"/>
      <c r="P120" s="10" t="s">
        <v>74</v>
      </c>
      <c r="Q120" s="10"/>
      <c r="R120" s="10" t="s">
        <v>73</v>
      </c>
      <c r="S120" s="10" t="s">
        <v>73</v>
      </c>
      <c r="T120" s="10" t="s">
        <v>73</v>
      </c>
      <c r="U120" s="10" t="s">
        <v>73</v>
      </c>
      <c r="V120" s="10"/>
      <c r="W120" s="10"/>
      <c r="X120" s="10"/>
      <c r="Y120" s="10" t="s">
        <v>75</v>
      </c>
      <c r="Z120" s="24">
        <v>45566.0</v>
      </c>
      <c r="AA120" s="10" t="s">
        <v>75</v>
      </c>
      <c r="AB120" s="58" t="s">
        <v>112</v>
      </c>
      <c r="AC120" s="10" t="s">
        <v>77</v>
      </c>
      <c r="AD120" s="10" t="s">
        <v>94</v>
      </c>
      <c r="AE120" s="13" t="s">
        <v>205</v>
      </c>
      <c r="AF120" s="6"/>
      <c r="AG120" s="10" t="s">
        <v>82</v>
      </c>
      <c r="AH120" s="10" t="s">
        <v>82</v>
      </c>
      <c r="AI120" s="10"/>
      <c r="AJ120" s="10"/>
      <c r="AK120" s="10"/>
      <c r="AL120" s="10"/>
      <c r="AM120" s="10"/>
      <c r="AN120" s="42"/>
      <c r="AO120" s="42"/>
      <c r="AP120" s="42"/>
      <c r="AQ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  <c r="BB120" s="42"/>
      <c r="BC120" s="42"/>
      <c r="BD120" s="42"/>
      <c r="BE120" s="42"/>
      <c r="BF120" s="14">
        <v>44941.0</v>
      </c>
      <c r="BG120" s="7" t="s">
        <v>75</v>
      </c>
      <c r="BH120" s="7" t="s">
        <v>1</v>
      </c>
      <c r="BI120" s="15">
        <f t="shared" si="1"/>
        <v>26</v>
      </c>
      <c r="BJ120" s="15" t="str">
        <f t="shared" si="3"/>
        <v>18-35</v>
      </c>
      <c r="BK120" s="15" t="s">
        <v>75</v>
      </c>
      <c r="BL120" s="15" t="s">
        <v>75</v>
      </c>
      <c r="BM120" s="18" t="s">
        <v>447</v>
      </c>
      <c r="BN120" s="10"/>
    </row>
    <row r="121" ht="15.75" customHeight="1">
      <c r="A121" s="1">
        <v>134.0</v>
      </c>
      <c r="B121" s="2">
        <v>134.0</v>
      </c>
      <c r="C121" s="9">
        <v>44949.68970886574</v>
      </c>
      <c r="D121" s="10" t="s">
        <v>560</v>
      </c>
      <c r="E121" s="11">
        <v>36966.0</v>
      </c>
      <c r="F121" s="10" t="s">
        <v>106</v>
      </c>
      <c r="G121" s="10" t="s">
        <v>535</v>
      </c>
      <c r="H121" s="10">
        <v>1.133073803E9</v>
      </c>
      <c r="I121" s="10" t="s">
        <v>92</v>
      </c>
      <c r="J121" s="10" t="s">
        <v>85</v>
      </c>
      <c r="K121" s="10" t="s">
        <v>134</v>
      </c>
      <c r="L121" s="10">
        <v>78.0</v>
      </c>
      <c r="M121" s="10" t="s">
        <v>216</v>
      </c>
      <c r="N121" s="10" t="s">
        <v>73</v>
      </c>
      <c r="O121" s="10"/>
      <c r="P121" s="10" t="s">
        <v>74</v>
      </c>
      <c r="Q121" s="10"/>
      <c r="R121" s="10" t="s">
        <v>73</v>
      </c>
      <c r="S121" s="10" t="s">
        <v>73</v>
      </c>
      <c r="T121" s="10" t="s">
        <v>73</v>
      </c>
      <c r="U121" s="10" t="s">
        <v>73</v>
      </c>
      <c r="V121" s="10"/>
      <c r="W121" s="10"/>
      <c r="X121" s="10"/>
      <c r="Y121" s="10" t="s">
        <v>73</v>
      </c>
      <c r="Z121" s="10"/>
      <c r="AA121" s="10" t="s">
        <v>73</v>
      </c>
      <c r="AB121" s="12"/>
      <c r="AC121" s="10" t="s">
        <v>82</v>
      </c>
      <c r="AD121" s="10" t="s">
        <v>78</v>
      </c>
      <c r="AE121" s="13" t="s">
        <v>138</v>
      </c>
      <c r="AF121" s="6"/>
      <c r="AG121" s="10" t="s">
        <v>82</v>
      </c>
      <c r="AH121" s="10" t="s">
        <v>82</v>
      </c>
      <c r="AI121" s="10"/>
      <c r="AJ121" s="10"/>
      <c r="AK121" s="10"/>
      <c r="AL121" s="10"/>
      <c r="AM121" s="10"/>
      <c r="AN121" s="42"/>
      <c r="AO121" s="42"/>
      <c r="AP121" s="42"/>
      <c r="AQ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  <c r="BB121" s="42"/>
      <c r="BC121" s="42"/>
      <c r="BD121" s="42"/>
      <c r="BE121" s="42"/>
      <c r="BF121" s="14">
        <v>44941.0</v>
      </c>
      <c r="BG121" s="7" t="s">
        <v>75</v>
      </c>
      <c r="BH121" s="7" t="s">
        <v>1</v>
      </c>
      <c r="BI121" s="15">
        <f t="shared" si="1"/>
        <v>22</v>
      </c>
      <c r="BJ121" s="15" t="str">
        <f t="shared" si="3"/>
        <v>18-35</v>
      </c>
      <c r="BK121" s="15" t="s">
        <v>75</v>
      </c>
      <c r="BL121" s="15" t="s">
        <v>75</v>
      </c>
      <c r="BM121" s="18" t="s">
        <v>447</v>
      </c>
      <c r="BN121" s="10"/>
    </row>
    <row r="122" ht="15.75" customHeight="1">
      <c r="A122" s="1">
        <v>135.0</v>
      </c>
      <c r="B122" s="2">
        <v>135.0</v>
      </c>
      <c r="C122" s="9">
        <v>44949.708421585645</v>
      </c>
      <c r="D122" s="10" t="s">
        <v>561</v>
      </c>
      <c r="E122" s="11">
        <v>25538.0</v>
      </c>
      <c r="F122" s="10" t="s">
        <v>106</v>
      </c>
      <c r="G122" s="10" t="s">
        <v>535</v>
      </c>
      <c r="H122" s="10">
        <v>1.159492461E9</v>
      </c>
      <c r="I122" s="10" t="s">
        <v>449</v>
      </c>
      <c r="J122" s="10" t="s">
        <v>85</v>
      </c>
      <c r="K122" s="10" t="s">
        <v>134</v>
      </c>
      <c r="L122" s="10">
        <v>80.0</v>
      </c>
      <c r="M122" s="10" t="s">
        <v>392</v>
      </c>
      <c r="N122" s="10" t="s">
        <v>75</v>
      </c>
      <c r="O122" s="10" t="s">
        <v>562</v>
      </c>
      <c r="P122" s="10" t="s">
        <v>74</v>
      </c>
      <c r="Q122" s="10"/>
      <c r="R122" s="10" t="s">
        <v>73</v>
      </c>
      <c r="S122" s="10" t="s">
        <v>73</v>
      </c>
      <c r="T122" s="10" t="s">
        <v>73</v>
      </c>
      <c r="U122" s="10" t="s">
        <v>75</v>
      </c>
      <c r="V122" s="10" t="s">
        <v>554</v>
      </c>
      <c r="W122" s="10" t="s">
        <v>563</v>
      </c>
      <c r="X122" s="10"/>
      <c r="Y122" s="10" t="s">
        <v>73</v>
      </c>
      <c r="Z122" s="10"/>
      <c r="AA122" s="10" t="s">
        <v>73</v>
      </c>
      <c r="AB122" s="12"/>
      <c r="AC122" s="10" t="s">
        <v>82</v>
      </c>
      <c r="AD122" s="10" t="s">
        <v>78</v>
      </c>
      <c r="AE122" s="13" t="s">
        <v>138</v>
      </c>
      <c r="AF122" s="6"/>
      <c r="AG122" s="10" t="s">
        <v>82</v>
      </c>
      <c r="AH122" s="10" t="s">
        <v>82</v>
      </c>
      <c r="AI122" s="10"/>
      <c r="AJ122" s="10"/>
      <c r="AK122" s="10"/>
      <c r="AL122" s="10"/>
      <c r="AM122" s="10"/>
      <c r="AN122" s="42"/>
      <c r="AO122" s="42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42"/>
      <c r="BC122" s="42"/>
      <c r="BD122" s="42"/>
      <c r="BE122" s="42"/>
      <c r="BF122" s="14">
        <v>44941.0</v>
      </c>
      <c r="BG122" s="7" t="s">
        <v>75</v>
      </c>
      <c r="BH122" s="7" t="s">
        <v>1</v>
      </c>
      <c r="BI122" s="15">
        <f t="shared" si="1"/>
        <v>54</v>
      </c>
      <c r="BJ122" s="15" t="str">
        <f t="shared" si="3"/>
        <v>35-55</v>
      </c>
      <c r="BK122" s="15" t="s">
        <v>75</v>
      </c>
      <c r="BL122" s="15" t="s">
        <v>75</v>
      </c>
      <c r="BM122" s="18" t="s">
        <v>447</v>
      </c>
      <c r="BN122" s="10"/>
    </row>
    <row r="123" ht="15.75" customHeight="1">
      <c r="A123" s="1">
        <v>136.0</v>
      </c>
      <c r="B123" s="2">
        <v>136.0</v>
      </c>
      <c r="C123" s="9">
        <v>44949.75712862269</v>
      </c>
      <c r="D123" s="10" t="s">
        <v>564</v>
      </c>
      <c r="E123" s="11">
        <v>37336.0</v>
      </c>
      <c r="F123" s="10" t="s">
        <v>106</v>
      </c>
      <c r="G123" s="10" t="s">
        <v>535</v>
      </c>
      <c r="H123" s="10">
        <v>1.132587602E10</v>
      </c>
      <c r="I123" s="10" t="s">
        <v>92</v>
      </c>
      <c r="J123" s="10" t="s">
        <v>85</v>
      </c>
      <c r="K123" s="10" t="s">
        <v>86</v>
      </c>
      <c r="L123" s="10">
        <v>69.0</v>
      </c>
      <c r="M123" s="10" t="s">
        <v>565</v>
      </c>
      <c r="N123" s="10" t="s">
        <v>73</v>
      </c>
      <c r="O123" s="10"/>
      <c r="P123" s="10" t="s">
        <v>74</v>
      </c>
      <c r="Q123" s="10"/>
      <c r="R123" s="10" t="s">
        <v>73</v>
      </c>
      <c r="S123" s="10" t="s">
        <v>73</v>
      </c>
      <c r="T123" s="10" t="s">
        <v>73</v>
      </c>
      <c r="U123" s="10" t="s">
        <v>73</v>
      </c>
      <c r="V123" s="10"/>
      <c r="W123" s="10"/>
      <c r="X123" s="10"/>
      <c r="Y123" s="10" t="s">
        <v>73</v>
      </c>
      <c r="Z123" s="10"/>
      <c r="AA123" s="10" t="s">
        <v>75</v>
      </c>
      <c r="AB123" s="12" t="s">
        <v>76</v>
      </c>
      <c r="AC123" s="10" t="s">
        <v>95</v>
      </c>
      <c r="AD123" s="10" t="s">
        <v>78</v>
      </c>
      <c r="AE123" s="13" t="s">
        <v>113</v>
      </c>
      <c r="AF123" s="6"/>
      <c r="AG123" s="10" t="s">
        <v>82</v>
      </c>
      <c r="AH123" s="10" t="s">
        <v>82</v>
      </c>
      <c r="AI123" s="10"/>
      <c r="AJ123" s="10"/>
      <c r="AK123" s="10"/>
      <c r="AL123" s="10"/>
      <c r="AM123" s="10"/>
      <c r="AN123" s="42"/>
      <c r="AO123" s="42"/>
      <c r="AP123" s="42"/>
      <c r="AQ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42"/>
      <c r="BC123" s="42"/>
      <c r="BD123" s="42"/>
      <c r="BE123" s="42"/>
      <c r="BF123" s="14">
        <v>44941.0</v>
      </c>
      <c r="BG123" s="7" t="s">
        <v>75</v>
      </c>
      <c r="BH123" s="7" t="s">
        <v>1</v>
      </c>
      <c r="BI123" s="15">
        <f t="shared" si="1"/>
        <v>21</v>
      </c>
      <c r="BJ123" s="15" t="str">
        <f t="shared" si="3"/>
        <v>18-35</v>
      </c>
      <c r="BK123" s="15" t="s">
        <v>75</v>
      </c>
      <c r="BL123" s="15" t="s">
        <v>75</v>
      </c>
      <c r="BM123" s="18" t="s">
        <v>447</v>
      </c>
      <c r="BN123" s="10"/>
    </row>
    <row r="124" ht="15.75" customHeight="1">
      <c r="A124" s="1">
        <v>137.0</v>
      </c>
      <c r="B124" s="2">
        <v>137.0</v>
      </c>
      <c r="C124" s="9">
        <v>44949.760969375</v>
      </c>
      <c r="D124" s="10" t="s">
        <v>566</v>
      </c>
      <c r="E124" s="11">
        <v>35816.0</v>
      </c>
      <c r="F124" s="10" t="s">
        <v>106</v>
      </c>
      <c r="G124" s="10" t="s">
        <v>535</v>
      </c>
      <c r="H124" s="10">
        <v>1.144928835E9</v>
      </c>
      <c r="I124" s="10" t="s">
        <v>449</v>
      </c>
      <c r="J124" s="10" t="s">
        <v>85</v>
      </c>
      <c r="K124" s="10" t="s">
        <v>71</v>
      </c>
      <c r="L124" s="10">
        <v>63.0</v>
      </c>
      <c r="M124" s="10" t="s">
        <v>565</v>
      </c>
      <c r="N124" s="10" t="s">
        <v>73</v>
      </c>
      <c r="O124" s="10"/>
      <c r="P124" s="10" t="s">
        <v>74</v>
      </c>
      <c r="Q124" s="10"/>
      <c r="R124" s="10" t="s">
        <v>73</v>
      </c>
      <c r="S124" s="10" t="s">
        <v>73</v>
      </c>
      <c r="T124" s="10" t="s">
        <v>73</v>
      </c>
      <c r="U124" s="10" t="s">
        <v>73</v>
      </c>
      <c r="V124" s="10"/>
      <c r="W124" s="10"/>
      <c r="X124" s="10"/>
      <c r="Y124" s="10" t="s">
        <v>73</v>
      </c>
      <c r="Z124" s="10"/>
      <c r="AA124" s="10" t="s">
        <v>73</v>
      </c>
      <c r="AB124" s="12"/>
      <c r="AC124" s="10" t="s">
        <v>82</v>
      </c>
      <c r="AD124" s="10" t="s">
        <v>78</v>
      </c>
      <c r="AE124" s="13" t="s">
        <v>205</v>
      </c>
      <c r="AF124" s="6"/>
      <c r="AG124" s="10" t="s">
        <v>82</v>
      </c>
      <c r="AH124" s="10" t="s">
        <v>82</v>
      </c>
      <c r="AI124" s="10"/>
      <c r="AJ124" s="10"/>
      <c r="AK124" s="10"/>
      <c r="AL124" s="10"/>
      <c r="AM124" s="10"/>
      <c r="AN124" s="42"/>
      <c r="AO124" s="42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  <c r="BC124" s="42"/>
      <c r="BD124" s="42"/>
      <c r="BE124" s="42"/>
      <c r="BF124" s="14">
        <v>44941.0</v>
      </c>
      <c r="BG124" s="7" t="s">
        <v>75</v>
      </c>
      <c r="BH124" s="7" t="s">
        <v>1</v>
      </c>
      <c r="BI124" s="15">
        <f t="shared" si="1"/>
        <v>25</v>
      </c>
      <c r="BJ124" s="15" t="str">
        <f t="shared" si="3"/>
        <v>18-35</v>
      </c>
      <c r="BK124" s="15" t="s">
        <v>75</v>
      </c>
      <c r="BL124" s="47" t="s">
        <v>326</v>
      </c>
      <c r="BM124" s="7"/>
      <c r="BN124" s="10"/>
    </row>
    <row r="125" ht="15.75" customHeight="1">
      <c r="A125" s="1">
        <v>138.0</v>
      </c>
      <c r="B125" s="2">
        <v>138.0</v>
      </c>
      <c r="C125" s="9">
        <v>44949.766437557875</v>
      </c>
      <c r="D125" s="10" t="s">
        <v>567</v>
      </c>
      <c r="E125" s="11">
        <v>22956.0</v>
      </c>
      <c r="F125" s="10" t="s">
        <v>106</v>
      </c>
      <c r="G125" s="10" t="s">
        <v>535</v>
      </c>
      <c r="H125" s="10">
        <v>1.1513511293E10</v>
      </c>
      <c r="I125" s="10" t="s">
        <v>92</v>
      </c>
      <c r="J125" s="10" t="s">
        <v>85</v>
      </c>
      <c r="K125" s="10" t="s">
        <v>134</v>
      </c>
      <c r="L125" s="10">
        <v>64.0</v>
      </c>
      <c r="M125" s="10" t="s">
        <v>295</v>
      </c>
      <c r="N125" s="10" t="s">
        <v>75</v>
      </c>
      <c r="O125" s="10" t="s">
        <v>568</v>
      </c>
      <c r="P125" s="10" t="s">
        <v>74</v>
      </c>
      <c r="Q125" s="10"/>
      <c r="R125" s="10" t="s">
        <v>73</v>
      </c>
      <c r="S125" s="10" t="s">
        <v>73</v>
      </c>
      <c r="T125" s="10" t="s">
        <v>73</v>
      </c>
      <c r="U125" s="10" t="s">
        <v>75</v>
      </c>
      <c r="V125" s="10" t="s">
        <v>569</v>
      </c>
      <c r="W125" s="10" t="s">
        <v>137</v>
      </c>
      <c r="X125" s="10"/>
      <c r="Y125" s="10" t="s">
        <v>73</v>
      </c>
      <c r="Z125" s="10"/>
      <c r="AA125" s="10" t="s">
        <v>73</v>
      </c>
      <c r="AB125" s="12"/>
      <c r="AC125" s="10" t="s">
        <v>82</v>
      </c>
      <c r="AD125" s="10" t="s">
        <v>78</v>
      </c>
      <c r="AE125" s="13" t="s">
        <v>138</v>
      </c>
      <c r="AF125" s="6"/>
      <c r="AG125" s="10" t="s">
        <v>82</v>
      </c>
      <c r="AH125" s="10" t="s">
        <v>82</v>
      </c>
      <c r="AI125" s="10"/>
      <c r="AJ125" s="10"/>
      <c r="AK125" s="10"/>
      <c r="AL125" s="10"/>
      <c r="AM125" s="10"/>
      <c r="AN125" s="42"/>
      <c r="AO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42"/>
      <c r="BC125" s="42"/>
      <c r="BD125" s="42"/>
      <c r="BE125" s="42"/>
      <c r="BF125" s="14">
        <v>44941.0</v>
      </c>
      <c r="BG125" s="7" t="s">
        <v>75</v>
      </c>
      <c r="BH125" s="7" t="s">
        <v>1</v>
      </c>
      <c r="BI125" s="15">
        <f t="shared" si="1"/>
        <v>61</v>
      </c>
      <c r="BJ125" s="15" t="str">
        <f t="shared" si="3"/>
        <v>&gt;55</v>
      </c>
      <c r="BK125" s="15" t="s">
        <v>75</v>
      </c>
      <c r="BL125" s="15" t="s">
        <v>75</v>
      </c>
      <c r="BM125" s="18" t="s">
        <v>447</v>
      </c>
      <c r="BN125" s="10"/>
    </row>
    <row r="126" ht="15.75" customHeight="1">
      <c r="A126" s="1">
        <v>139.0</v>
      </c>
      <c r="B126" s="2">
        <v>139.0</v>
      </c>
      <c r="C126" s="9">
        <v>44949.76860333333</v>
      </c>
      <c r="D126" s="10" t="s">
        <v>570</v>
      </c>
      <c r="E126" s="11">
        <v>29211.0</v>
      </c>
      <c r="F126" s="10" t="s">
        <v>106</v>
      </c>
      <c r="G126" s="10" t="s">
        <v>535</v>
      </c>
      <c r="H126" s="10">
        <v>1.159816646E9</v>
      </c>
      <c r="I126" s="10" t="s">
        <v>449</v>
      </c>
      <c r="J126" s="10" t="s">
        <v>85</v>
      </c>
      <c r="K126" s="10" t="s">
        <v>134</v>
      </c>
      <c r="L126" s="10">
        <v>93.0</v>
      </c>
      <c r="M126" s="10" t="s">
        <v>271</v>
      </c>
      <c r="N126" s="10" t="s">
        <v>75</v>
      </c>
      <c r="O126" s="10" t="s">
        <v>571</v>
      </c>
      <c r="P126" s="10" t="s">
        <v>74</v>
      </c>
      <c r="Q126" s="10"/>
      <c r="R126" s="10" t="s">
        <v>73</v>
      </c>
      <c r="S126" s="10" t="s">
        <v>73</v>
      </c>
      <c r="T126" s="10" t="s">
        <v>73</v>
      </c>
      <c r="U126" s="10" t="s">
        <v>75</v>
      </c>
      <c r="V126" s="10" t="s">
        <v>572</v>
      </c>
      <c r="W126" s="10" t="s">
        <v>573</v>
      </c>
      <c r="X126" s="10"/>
      <c r="Y126" s="10" t="s">
        <v>73</v>
      </c>
      <c r="Z126" s="10"/>
      <c r="AA126" s="10" t="s">
        <v>73</v>
      </c>
      <c r="AB126" s="12"/>
      <c r="AC126" s="10" t="s">
        <v>95</v>
      </c>
      <c r="AD126" s="10" t="s">
        <v>78</v>
      </c>
      <c r="AE126" s="13" t="s">
        <v>205</v>
      </c>
      <c r="AF126" s="6"/>
      <c r="AG126" s="10" t="s">
        <v>82</v>
      </c>
      <c r="AH126" s="10" t="s">
        <v>82</v>
      </c>
      <c r="AI126" s="10"/>
      <c r="AJ126" s="10"/>
      <c r="AK126" s="10"/>
      <c r="AL126" s="10"/>
      <c r="AM126" s="10"/>
      <c r="AN126" s="42"/>
      <c r="AO126" s="42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42"/>
      <c r="BC126" s="42"/>
      <c r="BD126" s="42"/>
      <c r="BE126" s="42"/>
      <c r="BF126" s="14">
        <v>44941.0</v>
      </c>
      <c r="BG126" s="7" t="s">
        <v>75</v>
      </c>
      <c r="BH126" s="7" t="s">
        <v>1</v>
      </c>
      <c r="BI126" s="15">
        <f t="shared" si="1"/>
        <v>44</v>
      </c>
      <c r="BJ126" s="15" t="str">
        <f t="shared" si="3"/>
        <v>35-55</v>
      </c>
      <c r="BK126" s="15" t="s">
        <v>75</v>
      </c>
      <c r="BL126" s="15" t="s">
        <v>75</v>
      </c>
      <c r="BM126" s="18" t="s">
        <v>447</v>
      </c>
      <c r="BN126" s="10"/>
    </row>
    <row r="127" ht="15.75" customHeight="1">
      <c r="A127" s="1">
        <v>140.0</v>
      </c>
      <c r="B127" s="2">
        <v>140.0</v>
      </c>
      <c r="C127" s="9">
        <v>44949.772274421295</v>
      </c>
      <c r="D127" s="10" t="s">
        <v>574</v>
      </c>
      <c r="E127" s="11">
        <v>30877.0</v>
      </c>
      <c r="F127" s="10" t="s">
        <v>106</v>
      </c>
      <c r="G127" s="10" t="s">
        <v>535</v>
      </c>
      <c r="H127" s="10">
        <v>1.128383371E9</v>
      </c>
      <c r="I127" s="10" t="s">
        <v>449</v>
      </c>
      <c r="J127" s="10" t="s">
        <v>85</v>
      </c>
      <c r="K127" s="10" t="s">
        <v>134</v>
      </c>
      <c r="L127" s="10">
        <v>81.0</v>
      </c>
      <c r="M127" s="10" t="s">
        <v>72</v>
      </c>
      <c r="N127" s="10" t="s">
        <v>73</v>
      </c>
      <c r="O127" s="10"/>
      <c r="P127" s="10" t="s">
        <v>74</v>
      </c>
      <c r="Q127" s="10"/>
      <c r="R127" s="10" t="s">
        <v>73</v>
      </c>
      <c r="S127" s="10" t="s">
        <v>73</v>
      </c>
      <c r="T127" s="10" t="s">
        <v>73</v>
      </c>
      <c r="U127" s="10" t="s">
        <v>73</v>
      </c>
      <c r="V127" s="10"/>
      <c r="W127" s="10"/>
      <c r="X127" s="10"/>
      <c r="Y127" s="10" t="s">
        <v>73</v>
      </c>
      <c r="Z127" s="10"/>
      <c r="AA127" s="10" t="s">
        <v>73</v>
      </c>
      <c r="AB127" s="12"/>
      <c r="AC127" s="10" t="s">
        <v>82</v>
      </c>
      <c r="AD127" s="10" t="s">
        <v>94</v>
      </c>
      <c r="AE127" s="13" t="s">
        <v>205</v>
      </c>
      <c r="AF127" s="6"/>
      <c r="AG127" s="10" t="s">
        <v>82</v>
      </c>
      <c r="AH127" s="10" t="s">
        <v>82</v>
      </c>
      <c r="AI127" s="10"/>
      <c r="AJ127" s="10"/>
      <c r="AK127" s="10"/>
      <c r="AL127" s="10"/>
      <c r="AM127" s="10"/>
      <c r="AN127" s="42"/>
      <c r="AO127" s="42"/>
      <c r="AP127" s="42"/>
      <c r="AQ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  <c r="BB127" s="42"/>
      <c r="BC127" s="42"/>
      <c r="BD127" s="42"/>
      <c r="BE127" s="42"/>
      <c r="BF127" s="14">
        <v>44941.0</v>
      </c>
      <c r="BG127" s="7" t="s">
        <v>75</v>
      </c>
      <c r="BH127" s="7" t="s">
        <v>1</v>
      </c>
      <c r="BI127" s="15">
        <f t="shared" si="1"/>
        <v>39</v>
      </c>
      <c r="BJ127" s="15" t="str">
        <f t="shared" si="3"/>
        <v>35-55</v>
      </c>
      <c r="BK127" s="15" t="s">
        <v>75</v>
      </c>
      <c r="BL127" s="15" t="s">
        <v>75</v>
      </c>
      <c r="BM127" s="18" t="s">
        <v>447</v>
      </c>
      <c r="BN127" s="10"/>
    </row>
    <row r="128" ht="15.75" customHeight="1">
      <c r="A128" s="1">
        <v>141.0</v>
      </c>
      <c r="B128" s="2">
        <v>141.0</v>
      </c>
      <c r="C128" s="9">
        <v>44949.77641895833</v>
      </c>
      <c r="D128" s="10" t="s">
        <v>575</v>
      </c>
      <c r="E128" s="11">
        <v>22324.0</v>
      </c>
      <c r="F128" s="10" t="s">
        <v>106</v>
      </c>
      <c r="G128" s="10" t="s">
        <v>535</v>
      </c>
      <c r="H128" s="10">
        <v>1.134963233E9</v>
      </c>
      <c r="I128" s="10" t="s">
        <v>221</v>
      </c>
      <c r="J128" s="10" t="s">
        <v>85</v>
      </c>
      <c r="K128" s="10" t="s">
        <v>134</v>
      </c>
      <c r="L128" s="10">
        <v>150.0</v>
      </c>
      <c r="M128" s="10" t="s">
        <v>377</v>
      </c>
      <c r="N128" s="10" t="s">
        <v>75</v>
      </c>
      <c r="O128" s="10" t="s">
        <v>576</v>
      </c>
      <c r="P128" s="10" t="s">
        <v>74</v>
      </c>
      <c r="Q128" s="10"/>
      <c r="R128" s="10" t="s">
        <v>73</v>
      </c>
      <c r="S128" s="10" t="s">
        <v>73</v>
      </c>
      <c r="T128" s="10" t="s">
        <v>73</v>
      </c>
      <c r="U128" s="10" t="s">
        <v>75</v>
      </c>
      <c r="V128" s="10" t="s">
        <v>577</v>
      </c>
      <c r="W128" s="10" t="s">
        <v>137</v>
      </c>
      <c r="X128" s="10"/>
      <c r="Y128" s="10" t="s">
        <v>73</v>
      </c>
      <c r="Z128" s="10"/>
      <c r="AA128" s="10" t="s">
        <v>73</v>
      </c>
      <c r="AB128" s="12"/>
      <c r="AC128" s="10" t="s">
        <v>82</v>
      </c>
      <c r="AD128" s="10" t="s">
        <v>78</v>
      </c>
      <c r="AE128" s="13" t="s">
        <v>138</v>
      </c>
      <c r="AF128" s="6"/>
      <c r="AG128" s="10" t="s">
        <v>82</v>
      </c>
      <c r="AH128" s="10" t="s">
        <v>82</v>
      </c>
      <c r="AI128" s="10"/>
      <c r="AJ128" s="10"/>
      <c r="AK128" s="10"/>
      <c r="AL128" s="10"/>
      <c r="AM128" s="10"/>
      <c r="AN128" s="42"/>
      <c r="AO128" s="42"/>
      <c r="AP128" s="42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42"/>
      <c r="BC128" s="42"/>
      <c r="BD128" s="42"/>
      <c r="BE128" s="42"/>
      <c r="BF128" s="14">
        <v>44941.0</v>
      </c>
      <c r="BG128" s="7" t="s">
        <v>75</v>
      </c>
      <c r="BH128" s="7" t="s">
        <v>1</v>
      </c>
      <c r="BI128" s="15">
        <f t="shared" si="1"/>
        <v>62</v>
      </c>
      <c r="BJ128" s="15" t="str">
        <f t="shared" si="3"/>
        <v>&gt;55</v>
      </c>
      <c r="BK128" s="15" t="s">
        <v>75</v>
      </c>
      <c r="BL128" s="15" t="s">
        <v>75</v>
      </c>
      <c r="BM128" s="18" t="s">
        <v>447</v>
      </c>
      <c r="BN128" s="10"/>
    </row>
    <row r="129" ht="15.75" customHeight="1">
      <c r="A129" s="1">
        <v>142.0</v>
      </c>
      <c r="B129" s="2">
        <v>142.0</v>
      </c>
      <c r="C129" s="9">
        <v>44949.77776078704</v>
      </c>
      <c r="D129" s="10" t="s">
        <v>578</v>
      </c>
      <c r="E129" s="11">
        <v>28109.0</v>
      </c>
      <c r="F129" s="10" t="s">
        <v>106</v>
      </c>
      <c r="G129" s="10" t="s">
        <v>535</v>
      </c>
      <c r="H129" s="10">
        <v>1.138471225E9</v>
      </c>
      <c r="I129" s="10" t="s">
        <v>92</v>
      </c>
      <c r="J129" s="10" t="s">
        <v>85</v>
      </c>
      <c r="K129" s="10" t="s">
        <v>134</v>
      </c>
      <c r="L129" s="10">
        <v>90.0</v>
      </c>
      <c r="M129" s="10" t="s">
        <v>271</v>
      </c>
      <c r="N129" s="10" t="s">
        <v>73</v>
      </c>
      <c r="O129" s="10"/>
      <c r="P129" s="10" t="s">
        <v>74</v>
      </c>
      <c r="Q129" s="10"/>
      <c r="R129" s="10" t="s">
        <v>73</v>
      </c>
      <c r="S129" s="10" t="s">
        <v>73</v>
      </c>
      <c r="T129" s="10" t="s">
        <v>73</v>
      </c>
      <c r="U129" s="10" t="s">
        <v>73</v>
      </c>
      <c r="V129" s="10"/>
      <c r="W129" s="10"/>
      <c r="X129" s="10"/>
      <c r="Y129" s="10" t="s">
        <v>73</v>
      </c>
      <c r="Z129" s="10"/>
      <c r="AA129" s="10" t="s">
        <v>73</v>
      </c>
      <c r="AB129" s="12"/>
      <c r="AC129" s="10" t="s">
        <v>82</v>
      </c>
      <c r="AD129" s="10" t="s">
        <v>94</v>
      </c>
      <c r="AE129" s="13" t="s">
        <v>138</v>
      </c>
      <c r="AF129" s="6"/>
      <c r="AG129" s="10" t="s">
        <v>82</v>
      </c>
      <c r="AH129" s="10" t="s">
        <v>82</v>
      </c>
      <c r="AI129" s="10"/>
      <c r="AJ129" s="10"/>
      <c r="AK129" s="10"/>
      <c r="AL129" s="10"/>
      <c r="AM129" s="10"/>
      <c r="AN129" s="42"/>
      <c r="AO129" s="42"/>
      <c r="AP129" s="42"/>
      <c r="AQ129" s="42"/>
      <c r="AR129" s="42"/>
      <c r="AS129" s="42"/>
      <c r="AT129" s="42"/>
      <c r="AU129" s="42"/>
      <c r="AV129" s="42"/>
      <c r="AW129" s="42"/>
      <c r="AX129" s="42"/>
      <c r="AY129" s="42"/>
      <c r="AZ129" s="42"/>
      <c r="BA129" s="42"/>
      <c r="BB129" s="42"/>
      <c r="BC129" s="42"/>
      <c r="BD129" s="42"/>
      <c r="BE129" s="42"/>
      <c r="BF129" s="14">
        <v>44941.0</v>
      </c>
      <c r="BG129" s="7" t="s">
        <v>75</v>
      </c>
      <c r="BH129" s="7" t="s">
        <v>1</v>
      </c>
      <c r="BI129" s="15">
        <f t="shared" si="1"/>
        <v>47</v>
      </c>
      <c r="BJ129" s="15" t="str">
        <f t="shared" si="3"/>
        <v>35-55</v>
      </c>
      <c r="BK129" s="15" t="s">
        <v>75</v>
      </c>
      <c r="BL129" s="15" t="s">
        <v>75</v>
      </c>
      <c r="BM129" s="18" t="s">
        <v>447</v>
      </c>
      <c r="BN129" s="10"/>
    </row>
    <row r="130" ht="15.75" customHeight="1">
      <c r="A130" s="1">
        <v>144.0</v>
      </c>
      <c r="B130" s="2">
        <v>144.0</v>
      </c>
      <c r="C130" s="9">
        <v>44954.7021534838</v>
      </c>
      <c r="D130" s="10" t="s">
        <v>579</v>
      </c>
      <c r="E130" s="11">
        <v>31709.0</v>
      </c>
      <c r="F130" s="10" t="s">
        <v>67</v>
      </c>
      <c r="G130" s="10" t="s">
        <v>580</v>
      </c>
      <c r="H130" s="10">
        <v>1.165744127E9</v>
      </c>
      <c r="I130" s="10" t="s">
        <v>449</v>
      </c>
      <c r="J130" s="10" t="s">
        <v>85</v>
      </c>
      <c r="K130" s="10" t="s">
        <v>86</v>
      </c>
      <c r="L130" s="10">
        <v>65.0</v>
      </c>
      <c r="M130" s="10" t="s">
        <v>295</v>
      </c>
      <c r="N130" s="10" t="s">
        <v>73</v>
      </c>
      <c r="O130" s="10"/>
      <c r="P130" s="10" t="s">
        <v>74</v>
      </c>
      <c r="Q130" s="10"/>
      <c r="R130" s="10" t="s">
        <v>73</v>
      </c>
      <c r="S130" s="10" t="s">
        <v>73</v>
      </c>
      <c r="T130" s="10" t="s">
        <v>73</v>
      </c>
      <c r="U130" s="10" t="s">
        <v>73</v>
      </c>
      <c r="V130" s="10"/>
      <c r="W130" s="10"/>
      <c r="X130" s="10"/>
      <c r="Y130" s="10" t="s">
        <v>73</v>
      </c>
      <c r="Z130" s="10"/>
      <c r="AA130" s="10" t="s">
        <v>75</v>
      </c>
      <c r="AB130" s="12" t="s">
        <v>76</v>
      </c>
      <c r="AC130" s="10" t="s">
        <v>82</v>
      </c>
      <c r="AD130" s="10" t="s">
        <v>78</v>
      </c>
      <c r="AE130" s="13" t="s">
        <v>138</v>
      </c>
      <c r="AF130" s="6"/>
      <c r="AG130" s="10" t="s">
        <v>81</v>
      </c>
      <c r="AH130" s="10" t="s">
        <v>82</v>
      </c>
      <c r="AI130" s="10"/>
      <c r="AJ130" s="10"/>
      <c r="AK130" s="10"/>
      <c r="AL130" s="10"/>
      <c r="AM130" s="10"/>
      <c r="AN130" s="42"/>
      <c r="AO130" s="42"/>
      <c r="AP130" s="42"/>
      <c r="AQ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42"/>
      <c r="BC130" s="42"/>
      <c r="BD130" s="42"/>
      <c r="BE130" s="42"/>
      <c r="BF130" s="14">
        <v>44974.0</v>
      </c>
      <c r="BG130" s="7" t="s">
        <v>75</v>
      </c>
      <c r="BH130" s="7" t="s">
        <v>104</v>
      </c>
      <c r="BI130" s="15">
        <f t="shared" si="1"/>
        <v>37</v>
      </c>
      <c r="BJ130" s="15" t="str">
        <f t="shared" si="3"/>
        <v>35-55</v>
      </c>
      <c r="BK130" s="15" t="s">
        <v>75</v>
      </c>
      <c r="BL130" s="15" t="s">
        <v>75</v>
      </c>
      <c r="BM130" s="16">
        <v>45596.0</v>
      </c>
      <c r="BN130" s="10"/>
    </row>
    <row r="131" ht="15.75" customHeight="1">
      <c r="A131" s="1">
        <v>145.0</v>
      </c>
      <c r="B131" s="2">
        <v>145.0</v>
      </c>
      <c r="C131" s="37">
        <v>44955.06125392361</v>
      </c>
      <c r="D131" s="38" t="s">
        <v>581</v>
      </c>
      <c r="E131" s="39">
        <v>36453.0</v>
      </c>
      <c r="F131" s="38" t="s">
        <v>67</v>
      </c>
      <c r="G131" s="38" t="s">
        <v>307</v>
      </c>
      <c r="H131" s="38">
        <v>5.41123866478E11</v>
      </c>
      <c r="I131" s="38" t="s">
        <v>92</v>
      </c>
      <c r="J131" s="38" t="s">
        <v>85</v>
      </c>
      <c r="K131" s="38" t="s">
        <v>86</v>
      </c>
      <c r="L131" s="38">
        <v>53.0</v>
      </c>
      <c r="M131" s="38">
        <v>1.65</v>
      </c>
      <c r="N131" s="38" t="s">
        <v>75</v>
      </c>
      <c r="O131" s="38" t="s">
        <v>582</v>
      </c>
      <c r="P131" s="38" t="s">
        <v>370</v>
      </c>
      <c r="Q131" s="38"/>
      <c r="R131" s="38" t="s">
        <v>75</v>
      </c>
      <c r="S131" s="38" t="s">
        <v>73</v>
      </c>
      <c r="T131" s="38" t="s">
        <v>73</v>
      </c>
      <c r="U131" s="38" t="s">
        <v>73</v>
      </c>
      <c r="V131" s="38"/>
      <c r="W131" s="38"/>
      <c r="X131" s="38"/>
      <c r="Y131" s="38"/>
      <c r="Z131" s="38"/>
      <c r="AA131" s="38"/>
      <c r="AB131" s="40"/>
      <c r="AC131" s="38"/>
      <c r="AD131" s="38"/>
      <c r="AE131" s="38"/>
      <c r="AF131" s="6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14">
        <v>45657.0</v>
      </c>
      <c r="BG131" s="7" t="s">
        <v>73</v>
      </c>
      <c r="BH131" s="7"/>
      <c r="BI131" s="15">
        <f t="shared" si="1"/>
        <v>25</v>
      </c>
      <c r="BJ131" s="15" t="str">
        <f t="shared" si="3"/>
        <v>18-35</v>
      </c>
      <c r="BK131" s="15"/>
      <c r="BL131" s="7"/>
      <c r="BM131" s="7"/>
      <c r="BN131" s="38"/>
    </row>
    <row r="132" ht="15.75" customHeight="1">
      <c r="A132" s="1">
        <v>146.0</v>
      </c>
      <c r="B132" s="2">
        <v>146.0</v>
      </c>
      <c r="C132" s="32">
        <v>44961.51045436342</v>
      </c>
      <c r="D132" s="33" t="s">
        <v>583</v>
      </c>
      <c r="E132" s="34">
        <v>24849.0</v>
      </c>
      <c r="F132" s="33" t="s">
        <v>67</v>
      </c>
      <c r="G132" s="33" t="s">
        <v>584</v>
      </c>
      <c r="H132" s="33">
        <v>2.215759184E9</v>
      </c>
      <c r="I132" s="33" t="s">
        <v>92</v>
      </c>
      <c r="J132" s="33" t="s">
        <v>109</v>
      </c>
      <c r="K132" s="33" t="s">
        <v>71</v>
      </c>
      <c r="L132" s="33">
        <v>58.0</v>
      </c>
      <c r="M132" s="33" t="s">
        <v>487</v>
      </c>
      <c r="N132" s="33" t="s">
        <v>75</v>
      </c>
      <c r="O132" s="33" t="s">
        <v>585</v>
      </c>
      <c r="P132" s="33" t="s">
        <v>586</v>
      </c>
      <c r="Q132" s="33" t="s">
        <v>587</v>
      </c>
      <c r="R132" s="33" t="s">
        <v>73</v>
      </c>
      <c r="S132" s="33" t="s">
        <v>73</v>
      </c>
      <c r="T132" s="33" t="s">
        <v>73</v>
      </c>
      <c r="U132" s="33" t="s">
        <v>75</v>
      </c>
      <c r="V132" s="33" t="s">
        <v>588</v>
      </c>
      <c r="W132" s="33" t="s">
        <v>589</v>
      </c>
      <c r="X132" s="33"/>
      <c r="Y132" s="33"/>
      <c r="Z132" s="33"/>
      <c r="AA132" s="33"/>
      <c r="AB132" s="35"/>
      <c r="AC132" s="33"/>
      <c r="AD132" s="33"/>
      <c r="AE132" s="33"/>
      <c r="AF132" s="6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14">
        <v>45657.0</v>
      </c>
      <c r="BG132" s="7" t="s">
        <v>73</v>
      </c>
      <c r="BH132" s="7"/>
      <c r="BI132" s="15">
        <f t="shared" si="1"/>
        <v>56</v>
      </c>
      <c r="BJ132" s="15" t="str">
        <f t="shared" si="3"/>
        <v>&gt;55</v>
      </c>
      <c r="BK132" s="15"/>
      <c r="BL132" s="7"/>
      <c r="BM132" s="7"/>
      <c r="BN132" s="33"/>
    </row>
    <row r="133" ht="15.75" customHeight="1">
      <c r="A133" s="1">
        <v>147.0</v>
      </c>
      <c r="B133" s="2">
        <v>147.0</v>
      </c>
      <c r="C133" s="17">
        <v>44965.893749525465</v>
      </c>
      <c r="D133" s="18" t="s">
        <v>590</v>
      </c>
      <c r="E133" s="19">
        <v>36862.0</v>
      </c>
      <c r="F133" s="18" t="s">
        <v>67</v>
      </c>
      <c r="G133" s="18" t="s">
        <v>591</v>
      </c>
      <c r="H133" s="18">
        <v>1.135833001E9</v>
      </c>
      <c r="I133" s="18" t="s">
        <v>449</v>
      </c>
      <c r="J133" s="18" t="s">
        <v>85</v>
      </c>
      <c r="K133" s="18" t="s">
        <v>86</v>
      </c>
      <c r="L133" s="18">
        <v>60.0</v>
      </c>
      <c r="M133" s="18" t="s">
        <v>487</v>
      </c>
      <c r="N133" s="18" t="s">
        <v>73</v>
      </c>
      <c r="O133" s="18"/>
      <c r="P133" s="18" t="s">
        <v>74</v>
      </c>
      <c r="Q133" s="18"/>
      <c r="R133" s="18" t="s">
        <v>73</v>
      </c>
      <c r="S133" s="18" t="s">
        <v>73</v>
      </c>
      <c r="T133" s="18" t="s">
        <v>73</v>
      </c>
      <c r="U133" s="18" t="s">
        <v>75</v>
      </c>
      <c r="V133" s="18" t="s">
        <v>592</v>
      </c>
      <c r="W133" s="18" t="s">
        <v>593</v>
      </c>
      <c r="X133" s="18"/>
      <c r="Y133" s="18"/>
      <c r="Z133" s="18"/>
      <c r="AA133" s="18"/>
      <c r="AB133" s="20"/>
      <c r="AC133" s="18"/>
      <c r="AD133" s="18"/>
      <c r="AE133" s="18"/>
      <c r="AF133" s="6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4">
        <v>45657.0</v>
      </c>
      <c r="BG133" s="7" t="s">
        <v>73</v>
      </c>
      <c r="BH133" s="7"/>
      <c r="BI133" s="15">
        <f t="shared" si="1"/>
        <v>24</v>
      </c>
      <c r="BJ133" s="15" t="str">
        <f t="shared" si="3"/>
        <v>18-35</v>
      </c>
      <c r="BK133" s="15"/>
      <c r="BL133" s="7"/>
      <c r="BM133" s="7"/>
      <c r="BN133" s="18"/>
    </row>
    <row r="134" ht="15.75" customHeight="1">
      <c r="A134" s="1">
        <v>148.0</v>
      </c>
      <c r="B134" s="2">
        <v>148.0</v>
      </c>
      <c r="C134" s="9">
        <v>44966.47767069444</v>
      </c>
      <c r="D134" s="10" t="s">
        <v>594</v>
      </c>
      <c r="E134" s="11">
        <v>31908.0</v>
      </c>
      <c r="F134" s="10" t="s">
        <v>67</v>
      </c>
      <c r="G134" s="10" t="s">
        <v>595</v>
      </c>
      <c r="H134" s="10">
        <v>1.136046534E9</v>
      </c>
      <c r="I134" s="10" t="s">
        <v>92</v>
      </c>
      <c r="J134" s="10" t="s">
        <v>85</v>
      </c>
      <c r="K134" s="10" t="s">
        <v>86</v>
      </c>
      <c r="L134" s="10">
        <v>60.0</v>
      </c>
      <c r="M134" s="10" t="s">
        <v>177</v>
      </c>
      <c r="N134" s="10" t="s">
        <v>73</v>
      </c>
      <c r="O134" s="10"/>
      <c r="P134" s="10" t="s">
        <v>74</v>
      </c>
      <c r="Q134" s="10"/>
      <c r="R134" s="10" t="s">
        <v>73</v>
      </c>
      <c r="S134" s="10" t="s">
        <v>73</v>
      </c>
      <c r="T134" s="10" t="s">
        <v>73</v>
      </c>
      <c r="U134" s="10" t="s">
        <v>73</v>
      </c>
      <c r="V134" s="10"/>
      <c r="W134" s="10"/>
      <c r="X134" s="10"/>
      <c r="Y134" s="10" t="s">
        <v>73</v>
      </c>
      <c r="Z134" s="10"/>
      <c r="AA134" s="10" t="s">
        <v>75</v>
      </c>
      <c r="AB134" s="12" t="s">
        <v>76</v>
      </c>
      <c r="AC134" s="10" t="s">
        <v>77</v>
      </c>
      <c r="AD134" s="10" t="s">
        <v>94</v>
      </c>
      <c r="AE134" s="13" t="s">
        <v>205</v>
      </c>
      <c r="AF134" s="6" t="s">
        <v>80</v>
      </c>
      <c r="AG134" s="10" t="s">
        <v>77</v>
      </c>
      <c r="AH134" s="10" t="s">
        <v>82</v>
      </c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4">
        <v>44951.0</v>
      </c>
      <c r="BG134" s="7" t="s">
        <v>75</v>
      </c>
      <c r="BH134" s="7" t="s">
        <v>190</v>
      </c>
      <c r="BI134" s="15">
        <f t="shared" si="1"/>
        <v>36</v>
      </c>
      <c r="BJ134" s="15" t="str">
        <f t="shared" si="3"/>
        <v>35-55</v>
      </c>
      <c r="BK134" s="15"/>
      <c r="BL134" s="7"/>
      <c r="BM134" s="7"/>
      <c r="BN134" s="10" t="s">
        <v>596</v>
      </c>
    </row>
    <row r="135" ht="15.75" customHeight="1">
      <c r="A135" s="1">
        <v>149.0</v>
      </c>
      <c r="B135" s="2">
        <v>149.0</v>
      </c>
      <c r="C135" s="37">
        <v>44967.62324909722</v>
      </c>
      <c r="D135" s="38" t="s">
        <v>597</v>
      </c>
      <c r="E135" s="39">
        <v>37425.0</v>
      </c>
      <c r="F135" s="38" t="s">
        <v>67</v>
      </c>
      <c r="G135" s="38" t="s">
        <v>598</v>
      </c>
      <c r="H135" s="38">
        <v>1.168570842E9</v>
      </c>
      <c r="I135" s="38" t="s">
        <v>92</v>
      </c>
      <c r="J135" s="38" t="s">
        <v>85</v>
      </c>
      <c r="K135" s="38" t="s">
        <v>71</v>
      </c>
      <c r="L135" s="38">
        <v>53.0</v>
      </c>
      <c r="M135" s="38" t="s">
        <v>295</v>
      </c>
      <c r="N135" s="38" t="s">
        <v>73</v>
      </c>
      <c r="O135" s="38"/>
      <c r="P135" s="38" t="s">
        <v>296</v>
      </c>
      <c r="Q135" s="38"/>
      <c r="R135" s="38" t="s">
        <v>73</v>
      </c>
      <c r="S135" s="38" t="s">
        <v>73</v>
      </c>
      <c r="T135" s="38" t="s">
        <v>73</v>
      </c>
      <c r="U135" s="38" t="s">
        <v>73</v>
      </c>
      <c r="V135" s="38"/>
      <c r="W135" s="38"/>
      <c r="X135" s="38"/>
      <c r="Y135" s="38"/>
      <c r="Z135" s="38"/>
      <c r="AA135" s="38"/>
      <c r="AB135" s="40"/>
      <c r="AC135" s="38"/>
      <c r="AD135" s="38"/>
      <c r="AE135" s="38"/>
      <c r="AF135" s="6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14">
        <v>45657.0</v>
      </c>
      <c r="BG135" s="7" t="s">
        <v>73</v>
      </c>
      <c r="BH135" s="7"/>
      <c r="BI135" s="15">
        <f t="shared" si="1"/>
        <v>22</v>
      </c>
      <c r="BJ135" s="15" t="str">
        <f t="shared" si="3"/>
        <v>18-35</v>
      </c>
      <c r="BK135" s="15"/>
      <c r="BL135" s="7"/>
      <c r="BM135" s="7"/>
      <c r="BN135" s="38"/>
    </row>
    <row r="136" ht="15.75" customHeight="1">
      <c r="A136" s="1">
        <v>150.0</v>
      </c>
      <c r="B136" s="2">
        <v>150.0</v>
      </c>
      <c r="C136" s="37">
        <v>44967.62665987268</v>
      </c>
      <c r="D136" s="38" t="s">
        <v>599</v>
      </c>
      <c r="E136" s="39">
        <v>37073.0</v>
      </c>
      <c r="F136" s="38" t="s">
        <v>67</v>
      </c>
      <c r="G136" s="38" t="s">
        <v>600</v>
      </c>
      <c r="H136" s="38">
        <v>1.167387271E9</v>
      </c>
      <c r="I136" s="38" t="s">
        <v>92</v>
      </c>
      <c r="J136" s="38" t="s">
        <v>85</v>
      </c>
      <c r="K136" s="38" t="s">
        <v>71</v>
      </c>
      <c r="L136" s="38">
        <v>62.0</v>
      </c>
      <c r="M136" s="38" t="s">
        <v>194</v>
      </c>
      <c r="N136" s="38" t="s">
        <v>73</v>
      </c>
      <c r="O136" s="38"/>
      <c r="P136" s="38" t="s">
        <v>296</v>
      </c>
      <c r="Q136" s="38"/>
      <c r="R136" s="38" t="s">
        <v>73</v>
      </c>
      <c r="S136" s="38" t="s">
        <v>73</v>
      </c>
      <c r="T136" s="38" t="s">
        <v>73</v>
      </c>
      <c r="U136" s="38" t="s">
        <v>73</v>
      </c>
      <c r="V136" s="38"/>
      <c r="W136" s="38"/>
      <c r="X136" s="38"/>
      <c r="Y136" s="38"/>
      <c r="Z136" s="38"/>
      <c r="AA136" s="38"/>
      <c r="AB136" s="40"/>
      <c r="AC136" s="38"/>
      <c r="AD136" s="38"/>
      <c r="AE136" s="38"/>
      <c r="AF136" s="6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14">
        <v>45657.0</v>
      </c>
      <c r="BG136" s="7" t="s">
        <v>73</v>
      </c>
      <c r="BH136" s="7"/>
      <c r="BI136" s="15">
        <f t="shared" si="1"/>
        <v>23</v>
      </c>
      <c r="BJ136" s="15" t="str">
        <f t="shared" si="3"/>
        <v>18-35</v>
      </c>
      <c r="BK136" s="15"/>
      <c r="BL136" s="7"/>
      <c r="BM136" s="7"/>
      <c r="BN136" s="38"/>
    </row>
    <row r="137" ht="15.75" customHeight="1">
      <c r="A137" s="1">
        <v>151.0</v>
      </c>
      <c r="B137" s="2">
        <v>151.0</v>
      </c>
      <c r="C137" s="9">
        <v>44967.728097326384</v>
      </c>
      <c r="D137" s="10" t="s">
        <v>601</v>
      </c>
      <c r="E137" s="11">
        <v>34940.0</v>
      </c>
      <c r="F137" s="10" t="s">
        <v>67</v>
      </c>
      <c r="G137" s="10" t="s">
        <v>602</v>
      </c>
      <c r="H137" s="10">
        <v>1.5681122E9</v>
      </c>
      <c r="I137" s="10" t="s">
        <v>449</v>
      </c>
      <c r="J137" s="10" t="s">
        <v>85</v>
      </c>
      <c r="K137" s="10" t="s">
        <v>71</v>
      </c>
      <c r="L137" s="10">
        <v>65.0</v>
      </c>
      <c r="M137" s="10">
        <v>1.65</v>
      </c>
      <c r="N137" s="10" t="s">
        <v>73</v>
      </c>
      <c r="O137" s="10"/>
      <c r="P137" s="10" t="s">
        <v>74</v>
      </c>
      <c r="Q137" s="10"/>
      <c r="R137" s="10" t="s">
        <v>73</v>
      </c>
      <c r="S137" s="10" t="s">
        <v>73</v>
      </c>
      <c r="T137" s="10" t="s">
        <v>73</v>
      </c>
      <c r="U137" s="10" t="s">
        <v>73</v>
      </c>
      <c r="V137" s="10"/>
      <c r="W137" s="10"/>
      <c r="X137" s="10"/>
      <c r="Y137" s="10" t="s">
        <v>73</v>
      </c>
      <c r="Z137" s="10"/>
      <c r="AA137" s="10" t="s">
        <v>75</v>
      </c>
      <c r="AB137" s="12" t="s">
        <v>112</v>
      </c>
      <c r="AC137" s="10" t="s">
        <v>77</v>
      </c>
      <c r="AD137" s="10" t="s">
        <v>94</v>
      </c>
      <c r="AE137" s="13" t="s">
        <v>131</v>
      </c>
      <c r="AF137" s="6"/>
      <c r="AG137" s="10" t="s">
        <v>95</v>
      </c>
      <c r="AH137" s="10" t="s">
        <v>96</v>
      </c>
      <c r="AI137" s="21" t="s">
        <v>603</v>
      </c>
      <c r="AJ137" s="10"/>
      <c r="AK137" s="10"/>
      <c r="AL137" s="10"/>
      <c r="AM137" s="10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14">
        <v>44974.0</v>
      </c>
      <c r="BG137" s="7" t="s">
        <v>75</v>
      </c>
      <c r="BH137" s="7" t="s">
        <v>604</v>
      </c>
      <c r="BI137" s="15">
        <f t="shared" si="1"/>
        <v>28</v>
      </c>
      <c r="BJ137" s="15" t="str">
        <f t="shared" si="3"/>
        <v>18-35</v>
      </c>
      <c r="BK137" s="15" t="s">
        <v>75</v>
      </c>
      <c r="BL137" s="15" t="s">
        <v>75</v>
      </c>
      <c r="BM137" s="16">
        <v>45596.0</v>
      </c>
      <c r="BN137" s="10"/>
    </row>
    <row r="138" ht="15.75" customHeight="1">
      <c r="A138" s="1">
        <v>152.0</v>
      </c>
      <c r="B138" s="2">
        <v>152.0</v>
      </c>
      <c r="C138" s="9">
        <v>44967.78173898148</v>
      </c>
      <c r="D138" s="10" t="s">
        <v>605</v>
      </c>
      <c r="E138" s="11">
        <v>24996.0</v>
      </c>
      <c r="F138" s="10" t="s">
        <v>67</v>
      </c>
      <c r="G138" s="10" t="s">
        <v>606</v>
      </c>
      <c r="H138" s="10">
        <v>1.130231206E9</v>
      </c>
      <c r="I138" s="10" t="s">
        <v>92</v>
      </c>
      <c r="J138" s="10" t="s">
        <v>85</v>
      </c>
      <c r="K138" s="10" t="s">
        <v>86</v>
      </c>
      <c r="L138" s="10">
        <v>74.0</v>
      </c>
      <c r="M138" s="10" t="s">
        <v>93</v>
      </c>
      <c r="N138" s="10" t="s">
        <v>73</v>
      </c>
      <c r="O138" s="10"/>
      <c r="P138" s="10" t="s">
        <v>74</v>
      </c>
      <c r="Q138" s="10"/>
      <c r="R138" s="10" t="s">
        <v>73</v>
      </c>
      <c r="S138" s="10" t="s">
        <v>73</v>
      </c>
      <c r="T138" s="10" t="s">
        <v>73</v>
      </c>
      <c r="U138" s="10" t="s">
        <v>73</v>
      </c>
      <c r="V138" s="10"/>
      <c r="W138" s="10"/>
      <c r="X138" s="10"/>
      <c r="Y138" s="10" t="s">
        <v>73</v>
      </c>
      <c r="Z138" s="10"/>
      <c r="AA138" s="10" t="s">
        <v>75</v>
      </c>
      <c r="AB138" s="12" t="s">
        <v>76</v>
      </c>
      <c r="AC138" s="10" t="s">
        <v>77</v>
      </c>
      <c r="AD138" s="10" t="s">
        <v>78</v>
      </c>
      <c r="AE138" s="13" t="s">
        <v>205</v>
      </c>
      <c r="AF138" s="6"/>
      <c r="AG138" s="10" t="s">
        <v>81</v>
      </c>
      <c r="AH138" s="10" t="s">
        <v>102</v>
      </c>
      <c r="AI138" s="21" t="s">
        <v>607</v>
      </c>
      <c r="AJ138" s="10"/>
      <c r="AK138" s="10"/>
      <c r="AL138" s="10"/>
      <c r="AM138" s="10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14">
        <v>44974.0</v>
      </c>
      <c r="BG138" s="7" t="s">
        <v>75</v>
      </c>
      <c r="BH138" s="7" t="s">
        <v>604</v>
      </c>
      <c r="BI138" s="15">
        <f t="shared" si="1"/>
        <v>55</v>
      </c>
      <c r="BJ138" s="15" t="str">
        <f t="shared" si="3"/>
        <v>35-55</v>
      </c>
      <c r="BK138" s="15" t="s">
        <v>75</v>
      </c>
      <c r="BL138" s="15" t="s">
        <v>75</v>
      </c>
      <c r="BM138" s="16">
        <v>45596.0</v>
      </c>
      <c r="BN138" s="10"/>
    </row>
    <row r="139" ht="15.0" customHeight="1">
      <c r="A139" s="1">
        <v>153.0</v>
      </c>
      <c r="B139" s="2">
        <v>153.0</v>
      </c>
      <c r="C139" s="9">
        <v>44967.79413122685</v>
      </c>
      <c r="D139" s="10" t="s">
        <v>608</v>
      </c>
      <c r="E139" s="11">
        <v>25135.0</v>
      </c>
      <c r="F139" s="10" t="s">
        <v>67</v>
      </c>
      <c r="G139" s="10" t="s">
        <v>609</v>
      </c>
      <c r="H139" s="10">
        <v>9.1154031823E10</v>
      </c>
      <c r="I139" s="10" t="s">
        <v>92</v>
      </c>
      <c r="J139" s="10" t="s">
        <v>85</v>
      </c>
      <c r="K139" s="10" t="s">
        <v>71</v>
      </c>
      <c r="L139" s="10">
        <v>58.0</v>
      </c>
      <c r="M139" s="10">
        <v>1.6</v>
      </c>
      <c r="N139" s="10" t="s">
        <v>73</v>
      </c>
      <c r="O139" s="10"/>
      <c r="P139" s="10" t="s">
        <v>74</v>
      </c>
      <c r="Q139" s="10"/>
      <c r="R139" s="10" t="s">
        <v>73</v>
      </c>
      <c r="S139" s="10" t="s">
        <v>73</v>
      </c>
      <c r="T139" s="10" t="s">
        <v>73</v>
      </c>
      <c r="U139" s="10" t="s">
        <v>75</v>
      </c>
      <c r="V139" s="10" t="s">
        <v>610</v>
      </c>
      <c r="W139" s="10" t="s">
        <v>611</v>
      </c>
      <c r="X139" s="10"/>
      <c r="Y139" s="10" t="s">
        <v>73</v>
      </c>
      <c r="Z139" s="10"/>
      <c r="AA139" s="10" t="s">
        <v>75</v>
      </c>
      <c r="AB139" s="12" t="s">
        <v>76</v>
      </c>
      <c r="AC139" s="10" t="s">
        <v>95</v>
      </c>
      <c r="AD139" s="10" t="s">
        <v>78</v>
      </c>
      <c r="AE139" s="13" t="s">
        <v>79</v>
      </c>
      <c r="AF139" s="6"/>
      <c r="AG139" s="10" t="s">
        <v>95</v>
      </c>
      <c r="AH139" s="10" t="s">
        <v>82</v>
      </c>
      <c r="AI139" s="10"/>
      <c r="AJ139" s="10"/>
      <c r="AK139" s="10"/>
      <c r="AL139" s="10"/>
      <c r="AM139" s="10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14">
        <v>44974.0</v>
      </c>
      <c r="BG139" s="7" t="s">
        <v>75</v>
      </c>
      <c r="BH139" s="7" t="s">
        <v>604</v>
      </c>
      <c r="BI139" s="15">
        <f t="shared" si="1"/>
        <v>55</v>
      </c>
      <c r="BJ139" s="15" t="str">
        <f t="shared" si="3"/>
        <v>35-55</v>
      </c>
      <c r="BK139" s="15" t="s">
        <v>75</v>
      </c>
      <c r="BL139" s="47" t="s">
        <v>326</v>
      </c>
      <c r="BM139" s="7"/>
      <c r="BN139" s="10"/>
    </row>
    <row r="140" ht="15.75" customHeight="1">
      <c r="A140" s="1">
        <v>154.0</v>
      </c>
      <c r="B140" s="2">
        <v>154.0</v>
      </c>
      <c r="C140" s="32">
        <v>44967.796076122686</v>
      </c>
      <c r="D140" s="33" t="s">
        <v>612</v>
      </c>
      <c r="E140" s="34">
        <v>26754.0</v>
      </c>
      <c r="F140" s="33" t="s">
        <v>67</v>
      </c>
      <c r="G140" s="33" t="s">
        <v>613</v>
      </c>
      <c r="H140" s="33">
        <v>1.168570538E9</v>
      </c>
      <c r="I140" s="33" t="s">
        <v>92</v>
      </c>
      <c r="J140" s="33" t="s">
        <v>85</v>
      </c>
      <c r="K140" s="33" t="s">
        <v>134</v>
      </c>
      <c r="L140" s="33">
        <v>80.0</v>
      </c>
      <c r="M140" s="33">
        <v>1.67</v>
      </c>
      <c r="N140" s="33" t="s">
        <v>73</v>
      </c>
      <c r="O140" s="33"/>
      <c r="P140" s="33" t="s">
        <v>329</v>
      </c>
      <c r="Q140" s="33"/>
      <c r="R140" s="33" t="s">
        <v>73</v>
      </c>
      <c r="S140" s="33" t="s">
        <v>73</v>
      </c>
      <c r="T140" s="33" t="s">
        <v>73</v>
      </c>
      <c r="U140" s="33" t="s">
        <v>73</v>
      </c>
      <c r="V140" s="33"/>
      <c r="W140" s="33"/>
      <c r="X140" s="33"/>
      <c r="Y140" s="33"/>
      <c r="Z140" s="33"/>
      <c r="AA140" s="33"/>
      <c r="AB140" s="35"/>
      <c r="AC140" s="33"/>
      <c r="AD140" s="33"/>
      <c r="AE140" s="33"/>
      <c r="AF140" s="6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14">
        <v>45657.0</v>
      </c>
      <c r="BG140" s="7" t="s">
        <v>73</v>
      </c>
      <c r="BH140" s="7"/>
      <c r="BI140" s="15">
        <f t="shared" si="1"/>
        <v>51</v>
      </c>
      <c r="BJ140" s="15" t="str">
        <f t="shared" si="3"/>
        <v>35-55</v>
      </c>
      <c r="BK140" s="15"/>
      <c r="BL140" s="7"/>
      <c r="BM140" s="7"/>
      <c r="BN140" s="33"/>
    </row>
    <row r="141" ht="15.75" customHeight="1">
      <c r="A141" s="1">
        <v>155.0</v>
      </c>
      <c r="B141" s="2">
        <v>155.0</v>
      </c>
      <c r="C141" s="37">
        <v>44972.8921582176</v>
      </c>
      <c r="D141" s="38" t="s">
        <v>614</v>
      </c>
      <c r="E141" s="39">
        <v>37407.0</v>
      </c>
      <c r="F141" s="38" t="s">
        <v>67</v>
      </c>
      <c r="G141" s="38" t="s">
        <v>615</v>
      </c>
      <c r="H141" s="38">
        <v>1.167489855E9</v>
      </c>
      <c r="I141" s="38" t="s">
        <v>92</v>
      </c>
      <c r="J141" s="38" t="s">
        <v>85</v>
      </c>
      <c r="K141" s="38" t="s">
        <v>86</v>
      </c>
      <c r="L141" s="38">
        <v>58.0</v>
      </c>
      <c r="M141" s="38" t="s">
        <v>87</v>
      </c>
      <c r="N141" s="38" t="s">
        <v>75</v>
      </c>
      <c r="O141" s="38" t="s">
        <v>616</v>
      </c>
      <c r="P141" s="38" t="s">
        <v>493</v>
      </c>
      <c r="Q141" s="38"/>
      <c r="R141" s="38" t="s">
        <v>73</v>
      </c>
      <c r="S141" s="38" t="s">
        <v>73</v>
      </c>
      <c r="T141" s="38" t="s">
        <v>73</v>
      </c>
      <c r="U141" s="38" t="s">
        <v>75</v>
      </c>
      <c r="V141" s="38" t="s">
        <v>592</v>
      </c>
      <c r="W141" s="38" t="s">
        <v>617</v>
      </c>
      <c r="X141" s="38"/>
      <c r="Y141" s="38"/>
      <c r="Z141" s="38"/>
      <c r="AA141" s="38"/>
      <c r="AB141" s="40"/>
      <c r="AC141" s="38"/>
      <c r="AD141" s="38"/>
      <c r="AE141" s="38"/>
      <c r="AF141" s="6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14">
        <v>45657.0</v>
      </c>
      <c r="BG141" s="7" t="s">
        <v>73</v>
      </c>
      <c r="BH141" s="7"/>
      <c r="BI141" s="15">
        <f t="shared" si="1"/>
        <v>22</v>
      </c>
      <c r="BJ141" s="15" t="str">
        <f t="shared" si="3"/>
        <v>18-35</v>
      </c>
      <c r="BK141" s="15"/>
      <c r="BL141" s="7"/>
      <c r="BM141" s="7"/>
      <c r="BN141" s="38"/>
    </row>
    <row r="142" ht="15.75" customHeight="1">
      <c r="A142" s="1">
        <v>156.0</v>
      </c>
      <c r="B142" s="2">
        <v>156.0</v>
      </c>
      <c r="C142" s="9">
        <v>44973.46924170139</v>
      </c>
      <c r="D142" s="10" t="s">
        <v>618</v>
      </c>
      <c r="E142" s="11">
        <v>22143.0</v>
      </c>
      <c r="F142" s="10" t="s">
        <v>106</v>
      </c>
      <c r="G142" s="10" t="s">
        <v>598</v>
      </c>
      <c r="H142" s="10">
        <v>1.168570842E9</v>
      </c>
      <c r="I142" s="10" t="s">
        <v>92</v>
      </c>
      <c r="J142" s="10" t="s">
        <v>85</v>
      </c>
      <c r="K142" s="10" t="s">
        <v>134</v>
      </c>
      <c r="L142" s="10">
        <v>96.0</v>
      </c>
      <c r="M142" s="10" t="s">
        <v>271</v>
      </c>
      <c r="N142" s="10" t="s">
        <v>75</v>
      </c>
      <c r="O142" s="10" t="s">
        <v>619</v>
      </c>
      <c r="P142" s="10" t="s">
        <v>74</v>
      </c>
      <c r="Q142" s="10"/>
      <c r="R142" s="10" t="s">
        <v>73</v>
      </c>
      <c r="S142" s="10" t="s">
        <v>73</v>
      </c>
      <c r="T142" s="10" t="s">
        <v>73</v>
      </c>
      <c r="U142" s="10" t="s">
        <v>75</v>
      </c>
      <c r="V142" s="10" t="s">
        <v>620</v>
      </c>
      <c r="W142" s="10" t="s">
        <v>621</v>
      </c>
      <c r="X142" s="10"/>
      <c r="Y142" s="10" t="s">
        <v>73</v>
      </c>
      <c r="Z142" s="10"/>
      <c r="AA142" s="10" t="s">
        <v>75</v>
      </c>
      <c r="AB142" s="12" t="s">
        <v>76</v>
      </c>
      <c r="AC142" s="10" t="s">
        <v>77</v>
      </c>
      <c r="AD142" s="10" t="s">
        <v>94</v>
      </c>
      <c r="AE142" s="13" t="s">
        <v>205</v>
      </c>
      <c r="AF142" s="6"/>
      <c r="AG142" s="10" t="s">
        <v>81</v>
      </c>
      <c r="AH142" s="10" t="s">
        <v>82</v>
      </c>
      <c r="AI142" s="10"/>
      <c r="AJ142" s="10"/>
      <c r="AK142" s="10"/>
      <c r="AL142" s="10"/>
      <c r="AM142" s="10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14">
        <v>44974.0</v>
      </c>
      <c r="BG142" s="7" t="s">
        <v>75</v>
      </c>
      <c r="BH142" s="7" t="s">
        <v>604</v>
      </c>
      <c r="BI142" s="15">
        <f t="shared" si="1"/>
        <v>63</v>
      </c>
      <c r="BJ142" s="15" t="str">
        <f t="shared" si="3"/>
        <v>&gt;55</v>
      </c>
      <c r="BK142" s="15" t="s">
        <v>75</v>
      </c>
      <c r="BL142" s="15" t="s">
        <v>75</v>
      </c>
      <c r="BM142" s="16">
        <v>45596.0</v>
      </c>
      <c r="BN142" s="10"/>
    </row>
    <row r="143" ht="15.75" customHeight="1">
      <c r="A143" s="1">
        <v>157.0</v>
      </c>
      <c r="B143" s="2">
        <v>157.0</v>
      </c>
      <c r="C143" s="32">
        <v>44974.566821203705</v>
      </c>
      <c r="D143" s="33" t="s">
        <v>622</v>
      </c>
      <c r="E143" s="34">
        <v>26498.0</v>
      </c>
      <c r="F143" s="33" t="s">
        <v>67</v>
      </c>
      <c r="G143" s="33" t="s">
        <v>623</v>
      </c>
      <c r="H143" s="33">
        <v>1.11528551765E11</v>
      </c>
      <c r="I143" s="33" t="s">
        <v>69</v>
      </c>
      <c r="J143" s="33" t="s">
        <v>85</v>
      </c>
      <c r="K143" s="33" t="s">
        <v>71</v>
      </c>
      <c r="L143" s="33">
        <v>57.0</v>
      </c>
      <c r="M143" s="33" t="s">
        <v>126</v>
      </c>
      <c r="N143" s="33" t="s">
        <v>75</v>
      </c>
      <c r="O143" s="33" t="s">
        <v>624</v>
      </c>
      <c r="P143" s="33" t="s">
        <v>329</v>
      </c>
      <c r="Q143" s="33"/>
      <c r="R143" s="33" t="s">
        <v>73</v>
      </c>
      <c r="S143" s="33" t="s">
        <v>73</v>
      </c>
      <c r="T143" s="33" t="s">
        <v>73</v>
      </c>
      <c r="U143" s="33" t="s">
        <v>75</v>
      </c>
      <c r="V143" s="33" t="s">
        <v>625</v>
      </c>
      <c r="W143" s="33" t="s">
        <v>626</v>
      </c>
      <c r="X143" s="33"/>
      <c r="Y143" s="33"/>
      <c r="Z143" s="33"/>
      <c r="AA143" s="33"/>
      <c r="AB143" s="35"/>
      <c r="AC143" s="33"/>
      <c r="AD143" s="33"/>
      <c r="AE143" s="33"/>
      <c r="AF143" s="6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14">
        <v>45657.0</v>
      </c>
      <c r="BG143" s="7" t="s">
        <v>73</v>
      </c>
      <c r="BH143" s="7"/>
      <c r="BI143" s="15">
        <f t="shared" si="1"/>
        <v>52</v>
      </c>
      <c r="BJ143" s="15" t="str">
        <f t="shared" si="3"/>
        <v>35-55</v>
      </c>
      <c r="BK143" s="15"/>
      <c r="BL143" s="7"/>
      <c r="BM143" s="7"/>
      <c r="BN143" s="33"/>
    </row>
    <row r="144" ht="15.75" customHeight="1">
      <c r="A144" s="1">
        <v>158.0</v>
      </c>
      <c r="B144" s="2">
        <v>158.0</v>
      </c>
      <c r="C144" s="17">
        <v>44975.204020613426</v>
      </c>
      <c r="D144" s="18" t="s">
        <v>627</v>
      </c>
      <c r="E144" s="19">
        <v>31271.0</v>
      </c>
      <c r="F144" s="18" t="s">
        <v>67</v>
      </c>
      <c r="G144" s="18" t="s">
        <v>628</v>
      </c>
      <c r="H144" s="18">
        <v>1.151548787E9</v>
      </c>
      <c r="I144" s="18" t="s">
        <v>92</v>
      </c>
      <c r="J144" s="18" t="s">
        <v>85</v>
      </c>
      <c r="K144" s="18" t="s">
        <v>71</v>
      </c>
      <c r="L144" s="18">
        <v>59.0</v>
      </c>
      <c r="M144" s="18" t="s">
        <v>629</v>
      </c>
      <c r="N144" s="18" t="s">
        <v>73</v>
      </c>
      <c r="O144" s="18"/>
      <c r="P144" s="18" t="s">
        <v>74</v>
      </c>
      <c r="Q144" s="18"/>
      <c r="R144" s="18" t="s">
        <v>73</v>
      </c>
      <c r="S144" s="18" t="s">
        <v>73</v>
      </c>
      <c r="T144" s="18" t="s">
        <v>73</v>
      </c>
      <c r="U144" s="18" t="s">
        <v>73</v>
      </c>
      <c r="V144" s="18"/>
      <c r="W144" s="18"/>
      <c r="X144" s="18"/>
      <c r="Y144" s="18"/>
      <c r="Z144" s="18"/>
      <c r="AA144" s="18"/>
      <c r="AB144" s="20"/>
      <c r="AC144" s="18"/>
      <c r="AD144" s="18"/>
      <c r="AE144" s="18"/>
      <c r="AF144" s="6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4">
        <v>45657.0</v>
      </c>
      <c r="BG144" s="7" t="s">
        <v>73</v>
      </c>
      <c r="BH144" s="7"/>
      <c r="BI144" s="15">
        <f t="shared" si="1"/>
        <v>39</v>
      </c>
      <c r="BJ144" s="15" t="str">
        <f t="shared" si="3"/>
        <v>35-55</v>
      </c>
      <c r="BK144" s="15"/>
      <c r="BL144" s="7"/>
      <c r="BM144" s="7"/>
      <c r="BN144" s="18"/>
    </row>
    <row r="145" ht="15.75" customHeight="1">
      <c r="A145" s="1">
        <v>159.0</v>
      </c>
      <c r="B145" s="2">
        <v>159.0</v>
      </c>
      <c r="C145" s="9">
        <v>44977.7486999074</v>
      </c>
      <c r="D145" s="10" t="s">
        <v>630</v>
      </c>
      <c r="E145" s="11">
        <v>35695.0</v>
      </c>
      <c r="F145" s="10" t="s">
        <v>106</v>
      </c>
      <c r="G145" s="10" t="s">
        <v>631</v>
      </c>
      <c r="H145" s="10">
        <v>1.134881798E9</v>
      </c>
      <c r="I145" s="10" t="s">
        <v>92</v>
      </c>
      <c r="J145" s="10" t="s">
        <v>85</v>
      </c>
      <c r="K145" s="10" t="s">
        <v>86</v>
      </c>
      <c r="L145" s="10">
        <v>90.0</v>
      </c>
      <c r="M145" s="10" t="s">
        <v>565</v>
      </c>
      <c r="N145" s="10" t="s">
        <v>73</v>
      </c>
      <c r="O145" s="10"/>
      <c r="P145" s="10" t="s">
        <v>74</v>
      </c>
      <c r="Q145" s="10"/>
      <c r="R145" s="10" t="s">
        <v>73</v>
      </c>
      <c r="S145" s="10" t="s">
        <v>73</v>
      </c>
      <c r="T145" s="10" t="s">
        <v>73</v>
      </c>
      <c r="U145" s="10" t="s">
        <v>73</v>
      </c>
      <c r="V145" s="10"/>
      <c r="W145" s="10"/>
      <c r="X145" s="10"/>
      <c r="Y145" s="10" t="s">
        <v>73</v>
      </c>
      <c r="Z145" s="10"/>
      <c r="AA145" s="10" t="s">
        <v>75</v>
      </c>
      <c r="AB145" s="12" t="s">
        <v>76</v>
      </c>
      <c r="AC145" s="10" t="s">
        <v>77</v>
      </c>
      <c r="AD145" s="10" t="s">
        <v>94</v>
      </c>
      <c r="AE145" s="13" t="s">
        <v>79</v>
      </c>
      <c r="AF145" s="6"/>
      <c r="AG145" s="10" t="s">
        <v>81</v>
      </c>
      <c r="AH145" s="10" t="s">
        <v>82</v>
      </c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4">
        <v>44970.0</v>
      </c>
      <c r="BG145" s="7" t="s">
        <v>75</v>
      </c>
      <c r="BH145" s="7" t="s">
        <v>604</v>
      </c>
      <c r="BI145" s="15">
        <f t="shared" si="1"/>
        <v>26</v>
      </c>
      <c r="BJ145" s="15" t="str">
        <f t="shared" si="3"/>
        <v>18-35</v>
      </c>
      <c r="BK145" s="15" t="s">
        <v>75</v>
      </c>
      <c r="BL145" s="15" t="s">
        <v>75</v>
      </c>
      <c r="BM145" s="16">
        <v>45596.0</v>
      </c>
      <c r="BN145" s="10"/>
    </row>
    <row r="146" ht="15.75" customHeight="1">
      <c r="A146" s="1">
        <v>160.0</v>
      </c>
      <c r="B146" s="2">
        <v>160.0</v>
      </c>
      <c r="C146" s="9">
        <v>44977.986912002314</v>
      </c>
      <c r="D146" s="10" t="s">
        <v>632</v>
      </c>
      <c r="E146" s="11">
        <v>34495.0</v>
      </c>
      <c r="F146" s="10" t="s">
        <v>106</v>
      </c>
      <c r="G146" s="10" t="s">
        <v>633</v>
      </c>
      <c r="H146" s="10">
        <v>1.164700473E9</v>
      </c>
      <c r="I146" s="10" t="s">
        <v>92</v>
      </c>
      <c r="J146" s="10" t="s">
        <v>85</v>
      </c>
      <c r="K146" s="10" t="s">
        <v>86</v>
      </c>
      <c r="L146" s="10">
        <v>70.0</v>
      </c>
      <c r="M146" s="10">
        <v>1.73</v>
      </c>
      <c r="N146" s="10" t="s">
        <v>73</v>
      </c>
      <c r="O146" s="10"/>
      <c r="P146" s="10" t="s">
        <v>74</v>
      </c>
      <c r="Q146" s="10"/>
      <c r="R146" s="10" t="s">
        <v>73</v>
      </c>
      <c r="S146" s="10" t="s">
        <v>73</v>
      </c>
      <c r="T146" s="10" t="s">
        <v>73</v>
      </c>
      <c r="U146" s="10" t="s">
        <v>73</v>
      </c>
      <c r="V146" s="10"/>
      <c r="W146" s="10"/>
      <c r="X146" s="10"/>
      <c r="Y146" s="10" t="s">
        <v>73</v>
      </c>
      <c r="Z146" s="10"/>
      <c r="AA146" s="10" t="s">
        <v>75</v>
      </c>
      <c r="AB146" s="12" t="s">
        <v>76</v>
      </c>
      <c r="AC146" s="10" t="s">
        <v>77</v>
      </c>
      <c r="AD146" s="10" t="s">
        <v>94</v>
      </c>
      <c r="AE146" s="13" t="s">
        <v>138</v>
      </c>
      <c r="AF146" s="6"/>
      <c r="AG146" s="10" t="s">
        <v>81</v>
      </c>
      <c r="AH146" s="10" t="s">
        <v>82</v>
      </c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4">
        <v>44970.0</v>
      </c>
      <c r="BG146" s="7" t="s">
        <v>75</v>
      </c>
      <c r="BH146" s="7" t="s">
        <v>604</v>
      </c>
      <c r="BI146" s="15">
        <f t="shared" si="1"/>
        <v>29</v>
      </c>
      <c r="BJ146" s="15" t="str">
        <f t="shared" si="3"/>
        <v>18-35</v>
      </c>
      <c r="BK146" s="15" t="s">
        <v>75</v>
      </c>
      <c r="BL146" s="15" t="s">
        <v>75</v>
      </c>
      <c r="BM146" s="16">
        <v>45596.0</v>
      </c>
      <c r="BN146" s="10"/>
    </row>
    <row r="147" ht="15.75" customHeight="1">
      <c r="A147" s="1">
        <v>161.0</v>
      </c>
      <c r="B147" s="2">
        <v>161.0</v>
      </c>
      <c r="C147" s="9">
        <v>44980.67107236111</v>
      </c>
      <c r="D147" s="10" t="s">
        <v>634</v>
      </c>
      <c r="E147" s="11">
        <v>24287.0</v>
      </c>
      <c r="F147" s="10" t="s">
        <v>106</v>
      </c>
      <c r="G147" s="10" t="s">
        <v>535</v>
      </c>
      <c r="H147" s="10">
        <v>1.150399616E9</v>
      </c>
      <c r="I147" s="10" t="s">
        <v>92</v>
      </c>
      <c r="J147" s="10" t="s">
        <v>70</v>
      </c>
      <c r="K147" s="10" t="s">
        <v>86</v>
      </c>
      <c r="L147" s="10">
        <v>67.0</v>
      </c>
      <c r="M147" s="10" t="s">
        <v>194</v>
      </c>
      <c r="N147" s="10" t="s">
        <v>75</v>
      </c>
      <c r="O147" s="10" t="s">
        <v>635</v>
      </c>
      <c r="P147" s="10" t="s">
        <v>74</v>
      </c>
      <c r="Q147" s="10"/>
      <c r="R147" s="10" t="s">
        <v>73</v>
      </c>
      <c r="S147" s="10" t="s">
        <v>73</v>
      </c>
      <c r="T147" s="10" t="s">
        <v>73</v>
      </c>
      <c r="U147" s="10" t="s">
        <v>73</v>
      </c>
      <c r="V147" s="10"/>
      <c r="W147" s="10"/>
      <c r="X147" s="10"/>
      <c r="Y147" s="10" t="s">
        <v>73</v>
      </c>
      <c r="Z147" s="10"/>
      <c r="AA147" s="10" t="s">
        <v>73</v>
      </c>
      <c r="AB147" s="12"/>
      <c r="AC147" s="10" t="s">
        <v>77</v>
      </c>
      <c r="AD147" s="10" t="s">
        <v>78</v>
      </c>
      <c r="AE147" s="13" t="s">
        <v>138</v>
      </c>
      <c r="AF147" s="6"/>
      <c r="AG147" s="10" t="s">
        <v>82</v>
      </c>
      <c r="AH147" s="10" t="s">
        <v>82</v>
      </c>
      <c r="AI147" s="10"/>
      <c r="AJ147" s="10"/>
      <c r="AK147" s="10"/>
      <c r="AL147" s="10"/>
      <c r="AM147" s="10"/>
      <c r="AN147" s="42"/>
      <c r="AO147" s="42"/>
      <c r="AP147" s="42"/>
      <c r="AQ147" s="42"/>
      <c r="AR147" s="42"/>
      <c r="AS147" s="42"/>
      <c r="AT147" s="42"/>
      <c r="AU147" s="42"/>
      <c r="AV147" s="42"/>
      <c r="AW147" s="42"/>
      <c r="AX147" s="42"/>
      <c r="AY147" s="42"/>
      <c r="AZ147" s="42"/>
      <c r="BA147" s="42"/>
      <c r="BB147" s="42"/>
      <c r="BC147" s="42"/>
      <c r="BD147" s="42"/>
      <c r="BE147" s="42"/>
      <c r="BF147" s="14">
        <v>44972.0</v>
      </c>
      <c r="BG147" s="7" t="s">
        <v>75</v>
      </c>
      <c r="BH147" s="7" t="s">
        <v>1</v>
      </c>
      <c r="BI147" s="15">
        <f t="shared" si="1"/>
        <v>57</v>
      </c>
      <c r="BJ147" s="15" t="str">
        <f t="shared" si="3"/>
        <v>&gt;55</v>
      </c>
      <c r="BK147" s="15" t="s">
        <v>75</v>
      </c>
      <c r="BL147" s="15" t="s">
        <v>75</v>
      </c>
      <c r="BM147" s="18" t="s">
        <v>447</v>
      </c>
      <c r="BN147" s="10"/>
    </row>
    <row r="148" ht="15.75" customHeight="1">
      <c r="A148" s="1">
        <v>162.0</v>
      </c>
      <c r="B148" s="2">
        <v>162.0</v>
      </c>
      <c r="C148" s="9">
        <v>44980.67914732639</v>
      </c>
      <c r="D148" s="10" t="s">
        <v>636</v>
      </c>
      <c r="E148" s="11">
        <v>23737.0</v>
      </c>
      <c r="F148" s="10" t="s">
        <v>106</v>
      </c>
      <c r="G148" s="10" t="s">
        <v>535</v>
      </c>
      <c r="H148" s="10">
        <v>1.136318532E9</v>
      </c>
      <c r="I148" s="10" t="s">
        <v>449</v>
      </c>
      <c r="J148" s="10" t="s">
        <v>85</v>
      </c>
      <c r="K148" s="10" t="s">
        <v>134</v>
      </c>
      <c r="L148" s="10">
        <v>88.0</v>
      </c>
      <c r="M148" s="10" t="s">
        <v>167</v>
      </c>
      <c r="N148" s="10" t="s">
        <v>75</v>
      </c>
      <c r="O148" s="10" t="s">
        <v>637</v>
      </c>
      <c r="P148" s="10" t="s">
        <v>74</v>
      </c>
      <c r="Q148" s="10"/>
      <c r="R148" s="10" t="s">
        <v>73</v>
      </c>
      <c r="S148" s="10" t="s">
        <v>73</v>
      </c>
      <c r="T148" s="10" t="s">
        <v>73</v>
      </c>
      <c r="U148" s="10" t="s">
        <v>75</v>
      </c>
      <c r="V148" s="10" t="s">
        <v>638</v>
      </c>
      <c r="W148" s="10" t="s">
        <v>137</v>
      </c>
      <c r="X148" s="10"/>
      <c r="Y148" s="10" t="s">
        <v>73</v>
      </c>
      <c r="Z148" s="10"/>
      <c r="AA148" s="10" t="s">
        <v>75</v>
      </c>
      <c r="AB148" s="12" t="s">
        <v>76</v>
      </c>
      <c r="AC148" s="10" t="s">
        <v>77</v>
      </c>
      <c r="AD148" s="10" t="s">
        <v>94</v>
      </c>
      <c r="AE148" s="13" t="s">
        <v>205</v>
      </c>
      <c r="AF148" s="6"/>
      <c r="AG148" s="10" t="s">
        <v>82</v>
      </c>
      <c r="AH148" s="10" t="s">
        <v>82</v>
      </c>
      <c r="AI148" s="10"/>
      <c r="AJ148" s="10"/>
      <c r="AK148" s="10"/>
      <c r="AL148" s="10"/>
      <c r="AM148" s="10"/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  <c r="BB148" s="42"/>
      <c r="BC148" s="42"/>
      <c r="BD148" s="42"/>
      <c r="BE148" s="42"/>
      <c r="BF148" s="14">
        <v>44972.0</v>
      </c>
      <c r="BG148" s="7" t="s">
        <v>75</v>
      </c>
      <c r="BH148" s="7" t="s">
        <v>1</v>
      </c>
      <c r="BI148" s="15">
        <f t="shared" si="1"/>
        <v>59</v>
      </c>
      <c r="BJ148" s="15" t="str">
        <f t="shared" si="3"/>
        <v>&gt;55</v>
      </c>
      <c r="BK148" s="15" t="s">
        <v>75</v>
      </c>
      <c r="BL148" s="15" t="s">
        <v>75</v>
      </c>
      <c r="BM148" s="18" t="s">
        <v>447</v>
      </c>
      <c r="BN148" s="10"/>
    </row>
    <row r="149" ht="15.75" customHeight="1">
      <c r="A149" s="1">
        <v>163.0</v>
      </c>
      <c r="B149" s="2">
        <v>163.0</v>
      </c>
      <c r="C149" s="9">
        <v>44980.68366336805</v>
      </c>
      <c r="D149" s="10" t="s">
        <v>639</v>
      </c>
      <c r="E149" s="11">
        <v>17800.0</v>
      </c>
      <c r="F149" s="10" t="s">
        <v>67</v>
      </c>
      <c r="G149" s="10" t="s">
        <v>535</v>
      </c>
      <c r="H149" s="10">
        <v>1.150609808E9</v>
      </c>
      <c r="I149" s="10" t="s">
        <v>221</v>
      </c>
      <c r="J149" s="10" t="s">
        <v>70</v>
      </c>
      <c r="K149" s="10" t="s">
        <v>71</v>
      </c>
      <c r="L149" s="10">
        <v>64.0</v>
      </c>
      <c r="M149" s="10" t="s">
        <v>389</v>
      </c>
      <c r="N149" s="10" t="s">
        <v>73</v>
      </c>
      <c r="O149" s="10"/>
      <c r="P149" s="10" t="s">
        <v>74</v>
      </c>
      <c r="Q149" s="10"/>
      <c r="R149" s="10" t="s">
        <v>73</v>
      </c>
      <c r="S149" s="10" t="s">
        <v>73</v>
      </c>
      <c r="T149" s="10" t="s">
        <v>73</v>
      </c>
      <c r="U149" s="10" t="s">
        <v>75</v>
      </c>
      <c r="V149" s="10" t="s">
        <v>640</v>
      </c>
      <c r="W149" s="10" t="s">
        <v>137</v>
      </c>
      <c r="X149" s="10"/>
      <c r="Y149" s="10" t="s">
        <v>73</v>
      </c>
      <c r="Z149" s="10"/>
      <c r="AA149" s="10" t="s">
        <v>75</v>
      </c>
      <c r="AB149" s="12" t="s">
        <v>76</v>
      </c>
      <c r="AC149" s="10" t="s">
        <v>82</v>
      </c>
      <c r="AD149" s="10" t="s">
        <v>94</v>
      </c>
      <c r="AE149" s="13" t="s">
        <v>138</v>
      </c>
      <c r="AF149" s="6"/>
      <c r="AG149" s="10" t="s">
        <v>81</v>
      </c>
      <c r="AH149" s="10" t="s">
        <v>82</v>
      </c>
      <c r="AI149" s="10"/>
      <c r="AJ149" s="10"/>
      <c r="AK149" s="10"/>
      <c r="AL149" s="10"/>
      <c r="AM149" s="10"/>
      <c r="AN149" s="42"/>
      <c r="AO149" s="42"/>
      <c r="AP149" s="42"/>
      <c r="AQ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  <c r="BB149" s="42"/>
      <c r="BC149" s="42"/>
      <c r="BD149" s="42"/>
      <c r="BE149" s="42"/>
      <c r="BF149" s="14">
        <v>44972.0</v>
      </c>
      <c r="BG149" s="7" t="s">
        <v>75</v>
      </c>
      <c r="BH149" s="7" t="s">
        <v>1</v>
      </c>
      <c r="BI149" s="15">
        <f t="shared" si="1"/>
        <v>75</v>
      </c>
      <c r="BJ149" s="15" t="str">
        <f t="shared" si="3"/>
        <v>&gt;55</v>
      </c>
      <c r="BK149" s="15" t="s">
        <v>75</v>
      </c>
      <c r="BL149" s="15" t="s">
        <v>75</v>
      </c>
      <c r="BM149" s="18" t="s">
        <v>447</v>
      </c>
      <c r="BN149" s="10"/>
    </row>
    <row r="150" ht="15.75" customHeight="1">
      <c r="A150" s="1">
        <v>164.0</v>
      </c>
      <c r="B150" s="2">
        <v>164.0</v>
      </c>
      <c r="C150" s="9">
        <v>44980.68968565972</v>
      </c>
      <c r="D150" s="10" t="s">
        <v>641</v>
      </c>
      <c r="E150" s="11">
        <v>19961.0</v>
      </c>
      <c r="F150" s="10" t="s">
        <v>67</v>
      </c>
      <c r="G150" s="10" t="s">
        <v>535</v>
      </c>
      <c r="H150" s="10">
        <v>1.159203747E9</v>
      </c>
      <c r="I150" s="10" t="s">
        <v>92</v>
      </c>
      <c r="J150" s="10" t="s">
        <v>85</v>
      </c>
      <c r="K150" s="10" t="s">
        <v>134</v>
      </c>
      <c r="L150" s="10">
        <v>67.0</v>
      </c>
      <c r="M150" s="10" t="s">
        <v>181</v>
      </c>
      <c r="N150" s="10" t="s">
        <v>73</v>
      </c>
      <c r="O150" s="10"/>
      <c r="P150" s="10" t="s">
        <v>74</v>
      </c>
      <c r="Q150" s="10"/>
      <c r="R150" s="10" t="s">
        <v>73</v>
      </c>
      <c r="S150" s="10" t="s">
        <v>73</v>
      </c>
      <c r="T150" s="10" t="s">
        <v>73</v>
      </c>
      <c r="U150" s="10" t="s">
        <v>73</v>
      </c>
      <c r="V150" s="10"/>
      <c r="W150" s="10"/>
      <c r="X150" s="10"/>
      <c r="Y150" s="10" t="s">
        <v>75</v>
      </c>
      <c r="Z150" s="10" t="s">
        <v>483</v>
      </c>
      <c r="AA150" s="10" t="s">
        <v>75</v>
      </c>
      <c r="AB150" s="12" t="s">
        <v>76</v>
      </c>
      <c r="AC150" s="10" t="s">
        <v>77</v>
      </c>
      <c r="AD150" s="10" t="s">
        <v>94</v>
      </c>
      <c r="AE150" s="13" t="s">
        <v>138</v>
      </c>
      <c r="AF150" s="6"/>
      <c r="AG150" s="10" t="s">
        <v>82</v>
      </c>
      <c r="AH150" s="10" t="s">
        <v>82</v>
      </c>
      <c r="AI150" s="10"/>
      <c r="AJ150" s="10"/>
      <c r="AK150" s="10"/>
      <c r="AL150" s="10"/>
      <c r="AM150" s="10"/>
      <c r="AN150" s="42"/>
      <c r="AO150" s="42"/>
      <c r="AP150" s="42"/>
      <c r="AQ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42"/>
      <c r="BC150" s="42"/>
      <c r="BD150" s="42"/>
      <c r="BE150" s="42"/>
      <c r="BF150" s="14">
        <v>44972.0</v>
      </c>
      <c r="BG150" s="7" t="s">
        <v>75</v>
      </c>
      <c r="BH150" s="7" t="s">
        <v>1</v>
      </c>
      <c r="BI150" s="15">
        <f t="shared" si="1"/>
        <v>69</v>
      </c>
      <c r="BJ150" s="15" t="str">
        <f t="shared" si="3"/>
        <v>&gt;55</v>
      </c>
      <c r="BK150" s="15" t="s">
        <v>75</v>
      </c>
      <c r="BL150" s="15" t="s">
        <v>75</v>
      </c>
      <c r="BM150" s="18" t="s">
        <v>447</v>
      </c>
      <c r="BN150" s="10"/>
    </row>
    <row r="151" ht="15.75" customHeight="1">
      <c r="A151" s="1">
        <v>165.0</v>
      </c>
      <c r="B151" s="2">
        <v>165.0</v>
      </c>
      <c r="C151" s="9">
        <v>44980.69387315972</v>
      </c>
      <c r="D151" s="10" t="s">
        <v>642</v>
      </c>
      <c r="E151" s="11">
        <v>15053.0</v>
      </c>
      <c r="F151" s="10" t="s">
        <v>67</v>
      </c>
      <c r="G151" s="10" t="s">
        <v>535</v>
      </c>
      <c r="H151" s="10">
        <v>1.139829452E9</v>
      </c>
      <c r="I151" s="10" t="s">
        <v>69</v>
      </c>
      <c r="J151" s="10" t="s">
        <v>146</v>
      </c>
      <c r="K151" s="10" t="s">
        <v>71</v>
      </c>
      <c r="L151" s="10">
        <v>53.0</v>
      </c>
      <c r="M151" s="10" t="s">
        <v>72</v>
      </c>
      <c r="N151" s="10" t="s">
        <v>75</v>
      </c>
      <c r="O151" s="10" t="s">
        <v>643</v>
      </c>
      <c r="P151" s="10" t="s">
        <v>74</v>
      </c>
      <c r="Q151" s="10"/>
      <c r="R151" s="10" t="s">
        <v>73</v>
      </c>
      <c r="S151" s="10" t="s">
        <v>73</v>
      </c>
      <c r="T151" s="10" t="s">
        <v>73</v>
      </c>
      <c r="U151" s="10" t="s">
        <v>75</v>
      </c>
      <c r="V151" s="10" t="s">
        <v>644</v>
      </c>
      <c r="W151" s="10" t="s">
        <v>645</v>
      </c>
      <c r="X151" s="10"/>
      <c r="Y151" s="10" t="s">
        <v>73</v>
      </c>
      <c r="Z151" s="10"/>
      <c r="AA151" s="10" t="s">
        <v>73</v>
      </c>
      <c r="AB151" s="12"/>
      <c r="AC151" s="10" t="s">
        <v>77</v>
      </c>
      <c r="AD151" s="10" t="s">
        <v>78</v>
      </c>
      <c r="AE151" s="13" t="s">
        <v>131</v>
      </c>
      <c r="AF151" s="6"/>
      <c r="AG151" s="10" t="s">
        <v>82</v>
      </c>
      <c r="AH151" s="10" t="s">
        <v>82</v>
      </c>
      <c r="AI151" s="10"/>
      <c r="AJ151" s="10"/>
      <c r="AK151" s="10"/>
      <c r="AL151" s="10"/>
      <c r="AM151" s="10"/>
      <c r="AN151" s="42"/>
      <c r="AO151" s="42"/>
      <c r="AP151" s="42"/>
      <c r="AQ151" s="42"/>
      <c r="AR151" s="42"/>
      <c r="AS151" s="42"/>
      <c r="AT151" s="42"/>
      <c r="AU151" s="42"/>
      <c r="AV151" s="42"/>
      <c r="AW151" s="42"/>
      <c r="AX151" s="42"/>
      <c r="AY151" s="42"/>
      <c r="AZ151" s="42"/>
      <c r="BA151" s="42"/>
      <c r="BB151" s="42"/>
      <c r="BC151" s="42"/>
      <c r="BD151" s="42"/>
      <c r="BE151" s="42"/>
      <c r="BF151" s="14">
        <v>44972.0</v>
      </c>
      <c r="BG151" s="7" t="s">
        <v>75</v>
      </c>
      <c r="BH151" s="7" t="s">
        <v>1</v>
      </c>
      <c r="BI151" s="15">
        <f t="shared" si="1"/>
        <v>82</v>
      </c>
      <c r="BJ151" s="15" t="str">
        <f t="shared" si="3"/>
        <v>&gt;55</v>
      </c>
      <c r="BK151" s="15" t="s">
        <v>75</v>
      </c>
      <c r="BL151" s="15" t="s">
        <v>75</v>
      </c>
      <c r="BM151" s="18" t="s">
        <v>447</v>
      </c>
      <c r="BN151" s="10"/>
    </row>
    <row r="152" ht="15.75" customHeight="1">
      <c r="A152" s="1">
        <v>166.0</v>
      </c>
      <c r="B152" s="2">
        <v>166.0</v>
      </c>
      <c r="C152" s="9">
        <v>44980.697659502315</v>
      </c>
      <c r="D152" s="10" t="s">
        <v>646</v>
      </c>
      <c r="E152" s="11">
        <v>30549.0</v>
      </c>
      <c r="F152" s="10" t="s">
        <v>106</v>
      </c>
      <c r="G152" s="10" t="s">
        <v>535</v>
      </c>
      <c r="H152" s="10">
        <v>1.15124521E9</v>
      </c>
      <c r="I152" s="10" t="s">
        <v>449</v>
      </c>
      <c r="J152" s="10" t="s">
        <v>85</v>
      </c>
      <c r="K152" s="10" t="s">
        <v>134</v>
      </c>
      <c r="L152" s="10">
        <v>58.0</v>
      </c>
      <c r="M152" s="10" t="s">
        <v>93</v>
      </c>
      <c r="N152" s="10" t="s">
        <v>73</v>
      </c>
      <c r="O152" s="10"/>
      <c r="P152" s="10" t="s">
        <v>74</v>
      </c>
      <c r="Q152" s="10"/>
      <c r="R152" s="10" t="s">
        <v>73</v>
      </c>
      <c r="S152" s="10" t="s">
        <v>73</v>
      </c>
      <c r="T152" s="10" t="s">
        <v>73</v>
      </c>
      <c r="U152" s="10" t="s">
        <v>73</v>
      </c>
      <c r="V152" s="10"/>
      <c r="W152" s="10"/>
      <c r="X152" s="10"/>
      <c r="Y152" s="10" t="s">
        <v>75</v>
      </c>
      <c r="Z152" s="10" t="s">
        <v>483</v>
      </c>
      <c r="AA152" s="10" t="s">
        <v>75</v>
      </c>
      <c r="AB152" s="12" t="s">
        <v>76</v>
      </c>
      <c r="AC152" s="10" t="s">
        <v>77</v>
      </c>
      <c r="AD152" s="10" t="s">
        <v>78</v>
      </c>
      <c r="AE152" s="13" t="s">
        <v>138</v>
      </c>
      <c r="AF152" s="6"/>
      <c r="AG152" s="10" t="s">
        <v>82</v>
      </c>
      <c r="AH152" s="10" t="s">
        <v>82</v>
      </c>
      <c r="AI152" s="10"/>
      <c r="AJ152" s="10"/>
      <c r="AK152" s="10"/>
      <c r="AL152" s="10"/>
      <c r="AM152" s="10"/>
      <c r="AN152" s="42"/>
      <c r="AO152" s="42"/>
      <c r="AP152" s="42"/>
      <c r="AQ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  <c r="BB152" s="42"/>
      <c r="BC152" s="42"/>
      <c r="BD152" s="42"/>
      <c r="BE152" s="42"/>
      <c r="BF152" s="14">
        <v>44972.0</v>
      </c>
      <c r="BG152" s="7" t="s">
        <v>75</v>
      </c>
      <c r="BH152" s="7" t="s">
        <v>1</v>
      </c>
      <c r="BI152" s="15">
        <f t="shared" si="1"/>
        <v>40</v>
      </c>
      <c r="BJ152" s="15" t="str">
        <f t="shared" si="3"/>
        <v>35-55</v>
      </c>
      <c r="BK152" s="15"/>
      <c r="BL152" s="7"/>
      <c r="BM152" s="7" t="s">
        <v>447</v>
      </c>
      <c r="BN152" s="10"/>
    </row>
    <row r="153" ht="15.75" customHeight="1">
      <c r="A153" s="1">
        <v>167.0</v>
      </c>
      <c r="B153" s="2">
        <v>167.0</v>
      </c>
      <c r="C153" s="9">
        <v>44980.699696180556</v>
      </c>
      <c r="D153" s="10" t="s">
        <v>647</v>
      </c>
      <c r="E153" s="11">
        <v>36825.0</v>
      </c>
      <c r="F153" s="10" t="s">
        <v>106</v>
      </c>
      <c r="G153" s="10" t="s">
        <v>535</v>
      </c>
      <c r="H153" s="10">
        <v>1.164112383E9</v>
      </c>
      <c r="I153" s="10" t="s">
        <v>92</v>
      </c>
      <c r="J153" s="10" t="s">
        <v>85</v>
      </c>
      <c r="K153" s="10" t="s">
        <v>86</v>
      </c>
      <c r="L153" s="10">
        <v>75.0</v>
      </c>
      <c r="M153" s="10" t="s">
        <v>648</v>
      </c>
      <c r="N153" s="10" t="s">
        <v>73</v>
      </c>
      <c r="O153" s="10"/>
      <c r="P153" s="10" t="s">
        <v>74</v>
      </c>
      <c r="Q153" s="10"/>
      <c r="R153" s="10" t="s">
        <v>73</v>
      </c>
      <c r="S153" s="10" t="s">
        <v>73</v>
      </c>
      <c r="T153" s="10" t="s">
        <v>73</v>
      </c>
      <c r="U153" s="10" t="s">
        <v>73</v>
      </c>
      <c r="V153" s="10"/>
      <c r="W153" s="10"/>
      <c r="X153" s="10"/>
      <c r="Y153" s="10" t="s">
        <v>73</v>
      </c>
      <c r="Z153" s="10"/>
      <c r="AA153" s="10" t="s">
        <v>75</v>
      </c>
      <c r="AB153" s="12" t="s">
        <v>76</v>
      </c>
      <c r="AC153" s="10" t="s">
        <v>77</v>
      </c>
      <c r="AD153" s="10" t="s">
        <v>94</v>
      </c>
      <c r="AE153" s="13" t="s">
        <v>205</v>
      </c>
      <c r="AF153" s="6"/>
      <c r="AG153" s="10" t="s">
        <v>82</v>
      </c>
      <c r="AH153" s="10" t="s">
        <v>82</v>
      </c>
      <c r="AI153" s="10"/>
      <c r="AJ153" s="10"/>
      <c r="AK153" s="10"/>
      <c r="AL153" s="10"/>
      <c r="AM153" s="10"/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/>
      <c r="BB153" s="42"/>
      <c r="BC153" s="42"/>
      <c r="BD153" s="42"/>
      <c r="BE153" s="42"/>
      <c r="BF153" s="14">
        <v>44972.0</v>
      </c>
      <c r="BG153" s="7" t="s">
        <v>75</v>
      </c>
      <c r="BH153" s="7" t="s">
        <v>1</v>
      </c>
      <c r="BI153" s="15">
        <f t="shared" si="1"/>
        <v>23</v>
      </c>
      <c r="BJ153" s="15" t="str">
        <f t="shared" si="3"/>
        <v>18-35</v>
      </c>
      <c r="BK153" s="15" t="s">
        <v>75</v>
      </c>
      <c r="BL153" s="15" t="s">
        <v>75</v>
      </c>
      <c r="BM153" s="18" t="s">
        <v>447</v>
      </c>
      <c r="BN153" s="10"/>
    </row>
    <row r="154" ht="15.75" customHeight="1">
      <c r="A154" s="1">
        <v>168.0</v>
      </c>
      <c r="B154" s="2">
        <v>168.0</v>
      </c>
      <c r="C154" s="9">
        <v>44980.70127605324</v>
      </c>
      <c r="D154" s="10" t="s">
        <v>649</v>
      </c>
      <c r="E154" s="11">
        <v>36546.0</v>
      </c>
      <c r="F154" s="10" t="s">
        <v>106</v>
      </c>
      <c r="G154" s="10" t="s">
        <v>535</v>
      </c>
      <c r="H154" s="10">
        <v>1.157098247E9</v>
      </c>
      <c r="I154" s="10" t="s">
        <v>92</v>
      </c>
      <c r="J154" s="10" t="s">
        <v>70</v>
      </c>
      <c r="K154" s="10" t="s">
        <v>86</v>
      </c>
      <c r="L154" s="10">
        <v>65.0</v>
      </c>
      <c r="M154" s="10" t="s">
        <v>629</v>
      </c>
      <c r="N154" s="10" t="s">
        <v>73</v>
      </c>
      <c r="O154" s="10"/>
      <c r="P154" s="10" t="s">
        <v>74</v>
      </c>
      <c r="Q154" s="10"/>
      <c r="R154" s="10" t="s">
        <v>73</v>
      </c>
      <c r="S154" s="10" t="s">
        <v>73</v>
      </c>
      <c r="T154" s="10" t="s">
        <v>73</v>
      </c>
      <c r="U154" s="10" t="s">
        <v>73</v>
      </c>
      <c r="V154" s="10"/>
      <c r="W154" s="10"/>
      <c r="X154" s="10"/>
      <c r="Y154" s="10" t="s">
        <v>73</v>
      </c>
      <c r="Z154" s="10"/>
      <c r="AA154" s="10" t="s">
        <v>75</v>
      </c>
      <c r="AB154" s="12" t="s">
        <v>76</v>
      </c>
      <c r="AC154" s="10" t="s">
        <v>82</v>
      </c>
      <c r="AD154" s="10" t="s">
        <v>94</v>
      </c>
      <c r="AE154" s="13" t="s">
        <v>205</v>
      </c>
      <c r="AF154" s="6"/>
      <c r="AG154" s="10" t="s">
        <v>82</v>
      </c>
      <c r="AH154" s="10" t="s">
        <v>96</v>
      </c>
      <c r="AI154" s="21" t="s">
        <v>650</v>
      </c>
      <c r="AJ154" s="10"/>
      <c r="AK154" s="10"/>
      <c r="AL154" s="10"/>
      <c r="AM154" s="10"/>
      <c r="AN154" s="42"/>
      <c r="AO154" s="42"/>
      <c r="AP154" s="42"/>
      <c r="AQ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  <c r="BB154" s="42"/>
      <c r="BC154" s="42"/>
      <c r="BD154" s="42"/>
      <c r="BE154" s="42"/>
      <c r="BF154" s="14">
        <v>44972.0</v>
      </c>
      <c r="BG154" s="7" t="s">
        <v>75</v>
      </c>
      <c r="BH154" s="7" t="s">
        <v>1</v>
      </c>
      <c r="BI154" s="15">
        <f t="shared" si="1"/>
        <v>23</v>
      </c>
      <c r="BJ154" s="15" t="str">
        <f t="shared" si="3"/>
        <v>18-35</v>
      </c>
      <c r="BK154" s="15" t="s">
        <v>75</v>
      </c>
      <c r="BL154" s="15" t="s">
        <v>75</v>
      </c>
      <c r="BM154" s="18" t="s">
        <v>447</v>
      </c>
      <c r="BN154" s="10"/>
    </row>
    <row r="155" ht="15.75" customHeight="1">
      <c r="A155" s="1">
        <v>169.0</v>
      </c>
      <c r="B155" s="2">
        <v>169.0</v>
      </c>
      <c r="C155" s="9">
        <v>44980.7050609375</v>
      </c>
      <c r="D155" s="10" t="s">
        <v>651</v>
      </c>
      <c r="E155" s="11">
        <v>35182.0</v>
      </c>
      <c r="F155" s="10" t="s">
        <v>106</v>
      </c>
      <c r="G155" s="10" t="s">
        <v>535</v>
      </c>
      <c r="H155" s="10">
        <v>1.15879432E9</v>
      </c>
      <c r="I155" s="10" t="s">
        <v>92</v>
      </c>
      <c r="J155" s="10" t="s">
        <v>85</v>
      </c>
      <c r="K155" s="10" t="s">
        <v>86</v>
      </c>
      <c r="L155" s="10">
        <v>70.0</v>
      </c>
      <c r="M155" s="10" t="s">
        <v>167</v>
      </c>
      <c r="N155" s="10" t="s">
        <v>73</v>
      </c>
      <c r="O155" s="10"/>
      <c r="P155" s="10" t="s">
        <v>74</v>
      </c>
      <c r="Q155" s="10"/>
      <c r="R155" s="10" t="s">
        <v>73</v>
      </c>
      <c r="S155" s="10" t="s">
        <v>73</v>
      </c>
      <c r="T155" s="10" t="s">
        <v>73</v>
      </c>
      <c r="U155" s="10" t="s">
        <v>73</v>
      </c>
      <c r="V155" s="10"/>
      <c r="W155" s="10"/>
      <c r="X155" s="10"/>
      <c r="Y155" s="10" t="s">
        <v>75</v>
      </c>
      <c r="Z155" s="10" t="s">
        <v>483</v>
      </c>
      <c r="AA155" s="10" t="s">
        <v>75</v>
      </c>
      <c r="AB155" s="12" t="s">
        <v>76</v>
      </c>
      <c r="AC155" s="10" t="s">
        <v>82</v>
      </c>
      <c r="AD155" s="10" t="s">
        <v>94</v>
      </c>
      <c r="AE155" s="13" t="s">
        <v>205</v>
      </c>
      <c r="AF155" s="6"/>
      <c r="AG155" s="10" t="s">
        <v>82</v>
      </c>
      <c r="AH155" s="10" t="s">
        <v>82</v>
      </c>
      <c r="AI155" s="10"/>
      <c r="AJ155" s="10"/>
      <c r="AK155" s="10"/>
      <c r="AL155" s="10"/>
      <c r="AM155" s="10"/>
      <c r="AN155" s="42"/>
      <c r="AO155" s="42"/>
      <c r="AP155" s="42"/>
      <c r="AQ155" s="42"/>
      <c r="AR155" s="42"/>
      <c r="AS155" s="42"/>
      <c r="AT155" s="42"/>
      <c r="AU155" s="42"/>
      <c r="AV155" s="42"/>
      <c r="AW155" s="42"/>
      <c r="AX155" s="42"/>
      <c r="AY155" s="42"/>
      <c r="AZ155" s="42"/>
      <c r="BA155" s="42"/>
      <c r="BB155" s="42"/>
      <c r="BC155" s="42"/>
      <c r="BD155" s="42"/>
      <c r="BE155" s="42"/>
      <c r="BF155" s="14">
        <v>44972.0</v>
      </c>
      <c r="BG155" s="7" t="s">
        <v>75</v>
      </c>
      <c r="BH155" s="7" t="s">
        <v>1</v>
      </c>
      <c r="BI155" s="15">
        <f t="shared" si="1"/>
        <v>27</v>
      </c>
      <c r="BJ155" s="15" t="str">
        <f t="shared" si="3"/>
        <v>18-35</v>
      </c>
      <c r="BK155" s="15" t="s">
        <v>75</v>
      </c>
      <c r="BL155" s="47" t="s">
        <v>652</v>
      </c>
      <c r="BM155" s="7" t="s">
        <v>447</v>
      </c>
      <c r="BN155" s="10"/>
    </row>
    <row r="156" ht="15.75" customHeight="1">
      <c r="A156" s="1">
        <v>170.0</v>
      </c>
      <c r="B156" s="2">
        <v>170.0</v>
      </c>
      <c r="C156" s="9">
        <v>44980.70812436343</v>
      </c>
      <c r="D156" s="10" t="s">
        <v>653</v>
      </c>
      <c r="E156" s="11">
        <v>25038.0</v>
      </c>
      <c r="F156" s="10" t="s">
        <v>106</v>
      </c>
      <c r="G156" s="10" t="s">
        <v>535</v>
      </c>
      <c r="H156" s="10">
        <v>1.133970143E9</v>
      </c>
      <c r="I156" s="10" t="s">
        <v>449</v>
      </c>
      <c r="J156" s="10" t="s">
        <v>85</v>
      </c>
      <c r="K156" s="10" t="s">
        <v>134</v>
      </c>
      <c r="L156" s="10">
        <v>135.0</v>
      </c>
      <c r="M156" s="10" t="s">
        <v>271</v>
      </c>
      <c r="N156" s="10" t="s">
        <v>75</v>
      </c>
      <c r="O156" s="10" t="s">
        <v>654</v>
      </c>
      <c r="P156" s="10" t="s">
        <v>74</v>
      </c>
      <c r="Q156" s="10"/>
      <c r="R156" s="10" t="s">
        <v>73</v>
      </c>
      <c r="S156" s="10" t="s">
        <v>73</v>
      </c>
      <c r="T156" s="10" t="s">
        <v>73</v>
      </c>
      <c r="U156" s="10" t="s">
        <v>75</v>
      </c>
      <c r="V156" s="10"/>
      <c r="W156" s="10"/>
      <c r="X156" s="10"/>
      <c r="Y156" s="10" t="s">
        <v>73</v>
      </c>
      <c r="Z156" s="10"/>
      <c r="AA156" s="10" t="s">
        <v>75</v>
      </c>
      <c r="AB156" s="12" t="s">
        <v>76</v>
      </c>
      <c r="AC156" s="10" t="s">
        <v>82</v>
      </c>
      <c r="AD156" s="10" t="s">
        <v>78</v>
      </c>
      <c r="AE156" s="13" t="s">
        <v>205</v>
      </c>
      <c r="AF156" s="6"/>
      <c r="AG156" s="10" t="s">
        <v>82</v>
      </c>
      <c r="AH156" s="10" t="s">
        <v>82</v>
      </c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4">
        <v>44972.0</v>
      </c>
      <c r="BG156" s="7" t="s">
        <v>75</v>
      </c>
      <c r="BH156" s="7" t="s">
        <v>1</v>
      </c>
      <c r="BI156" s="15">
        <f t="shared" si="1"/>
        <v>55</v>
      </c>
      <c r="BJ156" s="15" t="str">
        <f t="shared" si="3"/>
        <v>35-55</v>
      </c>
      <c r="BK156" s="15" t="s">
        <v>75</v>
      </c>
      <c r="BL156" s="47" t="s">
        <v>652</v>
      </c>
      <c r="BM156" s="7" t="s">
        <v>447</v>
      </c>
      <c r="BN156" s="10"/>
    </row>
    <row r="157" ht="15.75" customHeight="1">
      <c r="A157" s="1">
        <v>171.0</v>
      </c>
      <c r="B157" s="2">
        <v>171.0</v>
      </c>
      <c r="C157" s="9">
        <v>44980.71022690972</v>
      </c>
      <c r="D157" s="10" t="s">
        <v>655</v>
      </c>
      <c r="E157" s="11">
        <v>29277.0</v>
      </c>
      <c r="F157" s="10" t="s">
        <v>106</v>
      </c>
      <c r="G157" s="10" t="s">
        <v>535</v>
      </c>
      <c r="H157" s="10">
        <v>1.140517179E9</v>
      </c>
      <c r="I157" s="10" t="s">
        <v>449</v>
      </c>
      <c r="J157" s="10" t="s">
        <v>85</v>
      </c>
      <c r="K157" s="10" t="s">
        <v>134</v>
      </c>
      <c r="L157" s="10">
        <v>83.0</v>
      </c>
      <c r="M157" s="10" t="s">
        <v>126</v>
      </c>
      <c r="N157" s="10" t="s">
        <v>75</v>
      </c>
      <c r="O157" s="10" t="s">
        <v>656</v>
      </c>
      <c r="P157" s="10" t="s">
        <v>74</v>
      </c>
      <c r="Q157" s="10"/>
      <c r="R157" s="10" t="s">
        <v>73</v>
      </c>
      <c r="S157" s="10" t="s">
        <v>73</v>
      </c>
      <c r="T157" s="10" t="s">
        <v>73</v>
      </c>
      <c r="U157" s="10" t="s">
        <v>75</v>
      </c>
      <c r="V157" s="10" t="s">
        <v>657</v>
      </c>
      <c r="W157" s="10" t="s">
        <v>137</v>
      </c>
      <c r="X157" s="10"/>
      <c r="Y157" s="10" t="s">
        <v>73</v>
      </c>
      <c r="Z157" s="10"/>
      <c r="AA157" s="10" t="s">
        <v>75</v>
      </c>
      <c r="AB157" s="12" t="s">
        <v>76</v>
      </c>
      <c r="AC157" s="10" t="s">
        <v>82</v>
      </c>
      <c r="AD157" s="10" t="s">
        <v>78</v>
      </c>
      <c r="AE157" s="13" t="s">
        <v>138</v>
      </c>
      <c r="AF157" s="6"/>
      <c r="AG157" s="10" t="s">
        <v>82</v>
      </c>
      <c r="AH157" s="10" t="s">
        <v>82</v>
      </c>
      <c r="AI157" s="10"/>
      <c r="AJ157" s="10"/>
      <c r="AK157" s="10"/>
      <c r="AL157" s="10"/>
      <c r="AM157" s="10"/>
      <c r="AN157" s="42"/>
      <c r="AO157" s="42"/>
      <c r="AP157" s="42"/>
      <c r="AQ157" s="42"/>
      <c r="AR157" s="42"/>
      <c r="AS157" s="42"/>
      <c r="AT157" s="42"/>
      <c r="AU157" s="42"/>
      <c r="AV157" s="42"/>
      <c r="AW157" s="42"/>
      <c r="AX157" s="42"/>
      <c r="AY157" s="42"/>
      <c r="AZ157" s="42"/>
      <c r="BA157" s="42"/>
      <c r="BB157" s="42"/>
      <c r="BC157" s="42"/>
      <c r="BD157" s="42"/>
      <c r="BE157" s="42"/>
      <c r="BF157" s="14">
        <v>44972.0</v>
      </c>
      <c r="BG157" s="7" t="s">
        <v>75</v>
      </c>
      <c r="BH157" s="7" t="s">
        <v>1</v>
      </c>
      <c r="BI157" s="15">
        <f t="shared" si="1"/>
        <v>43</v>
      </c>
      <c r="BJ157" s="15" t="str">
        <f t="shared" si="3"/>
        <v>35-55</v>
      </c>
      <c r="BK157" s="15" t="s">
        <v>75</v>
      </c>
      <c r="BL157" s="15" t="s">
        <v>75</v>
      </c>
      <c r="BM157" s="18" t="s">
        <v>447</v>
      </c>
      <c r="BN157" s="15" t="s">
        <v>75</v>
      </c>
    </row>
    <row r="158" ht="15.75" customHeight="1">
      <c r="A158" s="1">
        <v>179.0</v>
      </c>
      <c r="B158" s="2">
        <v>172.0</v>
      </c>
      <c r="C158" s="9">
        <v>44981.61712890046</v>
      </c>
      <c r="D158" s="10" t="s">
        <v>658</v>
      </c>
      <c r="E158" s="11">
        <v>28430.0</v>
      </c>
      <c r="F158" s="10" t="s">
        <v>106</v>
      </c>
      <c r="G158" s="10" t="s">
        <v>535</v>
      </c>
      <c r="H158" s="10">
        <v>1.144137723E9</v>
      </c>
      <c r="I158" s="10" t="s">
        <v>449</v>
      </c>
      <c r="J158" s="10" t="s">
        <v>85</v>
      </c>
      <c r="K158" s="10" t="s">
        <v>134</v>
      </c>
      <c r="L158" s="10">
        <v>99.0</v>
      </c>
      <c r="M158" s="10" t="s">
        <v>516</v>
      </c>
      <c r="N158" s="10" t="s">
        <v>75</v>
      </c>
      <c r="O158" s="10" t="s">
        <v>659</v>
      </c>
      <c r="P158" s="10" t="s">
        <v>74</v>
      </c>
      <c r="Q158" s="10"/>
      <c r="R158" s="10" t="s">
        <v>73</v>
      </c>
      <c r="S158" s="10" t="s">
        <v>73</v>
      </c>
      <c r="T158" s="10" t="s">
        <v>73</v>
      </c>
      <c r="U158" s="10" t="s">
        <v>75</v>
      </c>
      <c r="V158" s="10" t="s">
        <v>660</v>
      </c>
      <c r="W158" s="10" t="s">
        <v>137</v>
      </c>
      <c r="X158" s="10"/>
      <c r="Y158" s="10" t="s">
        <v>73</v>
      </c>
      <c r="Z158" s="10"/>
      <c r="AA158" s="10" t="s">
        <v>73</v>
      </c>
      <c r="AB158" s="12"/>
      <c r="AC158" s="10" t="s">
        <v>82</v>
      </c>
      <c r="AD158" s="10" t="s">
        <v>506</v>
      </c>
      <c r="AE158" s="13" t="s">
        <v>205</v>
      </c>
      <c r="AF158" s="6"/>
      <c r="AG158" s="10" t="s">
        <v>82</v>
      </c>
      <c r="AH158" s="10" t="s">
        <v>82</v>
      </c>
      <c r="AI158" s="10"/>
      <c r="AJ158" s="10"/>
      <c r="AK158" s="10"/>
      <c r="AL158" s="10"/>
      <c r="AM158" s="10"/>
      <c r="AN158" s="42"/>
      <c r="AO158" s="42"/>
      <c r="AP158" s="42"/>
      <c r="AQ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  <c r="BB158" s="42"/>
      <c r="BC158" s="42"/>
      <c r="BD158" s="42"/>
      <c r="BE158" s="42"/>
      <c r="BF158" s="14">
        <v>44972.0</v>
      </c>
      <c r="BG158" s="7" t="s">
        <v>75</v>
      </c>
      <c r="BH158" s="7" t="s">
        <v>1</v>
      </c>
      <c r="BI158" s="15">
        <f t="shared" si="1"/>
        <v>46</v>
      </c>
      <c r="BJ158" s="15" t="str">
        <f t="shared" si="3"/>
        <v>35-55</v>
      </c>
      <c r="BK158" s="15" t="s">
        <v>75</v>
      </c>
      <c r="BL158" s="15" t="s">
        <v>75</v>
      </c>
      <c r="BM158" s="18" t="s">
        <v>447</v>
      </c>
      <c r="BN158" s="15" t="s">
        <v>75</v>
      </c>
    </row>
    <row r="159" ht="15.75" customHeight="1">
      <c r="A159" s="1">
        <v>178.0</v>
      </c>
      <c r="B159" s="2">
        <v>173.0</v>
      </c>
      <c r="C159" s="9">
        <v>44981.6148503125</v>
      </c>
      <c r="D159" s="10" t="s">
        <v>661</v>
      </c>
      <c r="E159" s="11">
        <v>30723.0</v>
      </c>
      <c r="F159" s="10" t="s">
        <v>106</v>
      </c>
      <c r="G159" s="10" t="s">
        <v>535</v>
      </c>
      <c r="H159" s="10">
        <v>1.177060623E9</v>
      </c>
      <c r="I159" s="10" t="s">
        <v>449</v>
      </c>
      <c r="J159" s="10" t="s">
        <v>85</v>
      </c>
      <c r="K159" s="10" t="s">
        <v>134</v>
      </c>
      <c r="L159" s="10">
        <v>84.0</v>
      </c>
      <c r="M159" s="10" t="s">
        <v>93</v>
      </c>
      <c r="N159" s="10" t="s">
        <v>75</v>
      </c>
      <c r="O159" s="10" t="s">
        <v>662</v>
      </c>
      <c r="P159" s="10" t="s">
        <v>74</v>
      </c>
      <c r="Q159" s="10"/>
      <c r="R159" s="10" t="s">
        <v>73</v>
      </c>
      <c r="S159" s="10" t="s">
        <v>73</v>
      </c>
      <c r="T159" s="10" t="s">
        <v>73</v>
      </c>
      <c r="U159" s="10" t="s">
        <v>75</v>
      </c>
      <c r="V159" s="10" t="s">
        <v>663</v>
      </c>
      <c r="W159" s="10" t="s">
        <v>137</v>
      </c>
      <c r="X159" s="10"/>
      <c r="Y159" s="10" t="s">
        <v>73</v>
      </c>
      <c r="Z159" s="10"/>
      <c r="AA159" s="10" t="s">
        <v>73</v>
      </c>
      <c r="AB159" s="12"/>
      <c r="AC159" s="10" t="s">
        <v>82</v>
      </c>
      <c r="AD159" s="10" t="s">
        <v>94</v>
      </c>
      <c r="AE159" s="13" t="s">
        <v>138</v>
      </c>
      <c r="AF159" s="6"/>
      <c r="AG159" s="10" t="s">
        <v>82</v>
      </c>
      <c r="AH159" s="10" t="s">
        <v>82</v>
      </c>
      <c r="AI159" s="10"/>
      <c r="AJ159" s="10"/>
      <c r="AK159" s="10"/>
      <c r="AL159" s="10"/>
      <c r="AM159" s="10"/>
      <c r="AN159" s="42"/>
      <c r="AO159" s="42"/>
      <c r="AP159" s="42"/>
      <c r="AQ159" s="42"/>
      <c r="AR159" s="42"/>
      <c r="AS159" s="42"/>
      <c r="AT159" s="42"/>
      <c r="AU159" s="42"/>
      <c r="AV159" s="42"/>
      <c r="AW159" s="42"/>
      <c r="AX159" s="42"/>
      <c r="AY159" s="42"/>
      <c r="AZ159" s="42"/>
      <c r="BA159" s="42"/>
      <c r="BB159" s="42"/>
      <c r="BC159" s="42"/>
      <c r="BD159" s="42"/>
      <c r="BE159" s="42"/>
      <c r="BF159" s="14">
        <v>44972.0</v>
      </c>
      <c r="BG159" s="7" t="s">
        <v>75</v>
      </c>
      <c r="BH159" s="7" t="s">
        <v>1</v>
      </c>
      <c r="BI159" s="15">
        <f t="shared" si="1"/>
        <v>39</v>
      </c>
      <c r="BJ159" s="15" t="str">
        <f t="shared" si="3"/>
        <v>35-55</v>
      </c>
      <c r="BK159" s="15" t="s">
        <v>75</v>
      </c>
      <c r="BL159" s="15" t="s">
        <v>75</v>
      </c>
      <c r="BM159" s="18" t="s">
        <v>447</v>
      </c>
      <c r="BN159" s="15" t="s">
        <v>75</v>
      </c>
    </row>
    <row r="160" ht="15.75" customHeight="1">
      <c r="A160" s="1">
        <v>177.0</v>
      </c>
      <c r="B160" s="2">
        <v>174.0</v>
      </c>
      <c r="C160" s="9">
        <v>44981.60717260417</v>
      </c>
      <c r="D160" s="10" t="s">
        <v>664</v>
      </c>
      <c r="E160" s="11">
        <v>20315.0</v>
      </c>
      <c r="F160" s="10" t="s">
        <v>106</v>
      </c>
      <c r="G160" s="10" t="s">
        <v>535</v>
      </c>
      <c r="H160" s="10">
        <v>1.15615808E9</v>
      </c>
      <c r="I160" s="10" t="s">
        <v>221</v>
      </c>
      <c r="J160" s="10" t="s">
        <v>85</v>
      </c>
      <c r="K160" s="10" t="s">
        <v>134</v>
      </c>
      <c r="L160" s="10">
        <v>82.0</v>
      </c>
      <c r="M160" s="10" t="s">
        <v>126</v>
      </c>
      <c r="N160" s="10" t="s">
        <v>75</v>
      </c>
      <c r="O160" s="10" t="s">
        <v>665</v>
      </c>
      <c r="P160" s="10" t="s">
        <v>74</v>
      </c>
      <c r="Q160" s="10"/>
      <c r="R160" s="10" t="s">
        <v>73</v>
      </c>
      <c r="S160" s="10" t="s">
        <v>73</v>
      </c>
      <c r="T160" s="10" t="s">
        <v>73</v>
      </c>
      <c r="U160" s="10" t="s">
        <v>75</v>
      </c>
      <c r="V160" s="10" t="s">
        <v>666</v>
      </c>
      <c r="W160" s="10" t="s">
        <v>667</v>
      </c>
      <c r="X160" s="10"/>
      <c r="Y160" s="10" t="s">
        <v>73</v>
      </c>
      <c r="Z160" s="10"/>
      <c r="AA160" s="10" t="s">
        <v>73</v>
      </c>
      <c r="AB160" s="12"/>
      <c r="AC160" s="10" t="s">
        <v>95</v>
      </c>
      <c r="AD160" s="10" t="s">
        <v>78</v>
      </c>
      <c r="AE160" s="13" t="s">
        <v>205</v>
      </c>
      <c r="AF160" s="6"/>
      <c r="AG160" s="10" t="s">
        <v>82</v>
      </c>
      <c r="AH160" s="10" t="s">
        <v>82</v>
      </c>
      <c r="AI160" s="10"/>
      <c r="AJ160" s="10"/>
      <c r="AK160" s="10"/>
      <c r="AL160" s="10"/>
      <c r="AM160" s="10"/>
      <c r="AN160" s="42"/>
      <c r="AO160" s="42"/>
      <c r="AP160" s="42"/>
      <c r="AQ160" s="42"/>
      <c r="AR160" s="42"/>
      <c r="AS160" s="42"/>
      <c r="AT160" s="42"/>
      <c r="AU160" s="42"/>
      <c r="AV160" s="42"/>
      <c r="AW160" s="42"/>
      <c r="AX160" s="42"/>
      <c r="AY160" s="42"/>
      <c r="AZ160" s="42"/>
      <c r="BA160" s="42"/>
      <c r="BB160" s="42"/>
      <c r="BC160" s="42"/>
      <c r="BD160" s="42"/>
      <c r="BE160" s="42"/>
      <c r="BF160" s="14">
        <v>44972.0</v>
      </c>
      <c r="BG160" s="7" t="s">
        <v>75</v>
      </c>
      <c r="BH160" s="7" t="s">
        <v>1</v>
      </c>
      <c r="BI160" s="15">
        <f t="shared" si="1"/>
        <v>68</v>
      </c>
      <c r="BJ160" s="15" t="str">
        <f t="shared" si="3"/>
        <v>&gt;55</v>
      </c>
      <c r="BK160" s="15" t="s">
        <v>75</v>
      </c>
      <c r="BL160" s="15" t="s">
        <v>75</v>
      </c>
      <c r="BM160" s="7" t="s">
        <v>447</v>
      </c>
      <c r="BN160" s="10"/>
    </row>
    <row r="161" ht="15.75" customHeight="1">
      <c r="A161" s="1">
        <v>176.0</v>
      </c>
      <c r="B161" s="2">
        <v>175.0</v>
      </c>
      <c r="C161" s="9">
        <v>44981.60483844907</v>
      </c>
      <c r="D161" s="10" t="s">
        <v>668</v>
      </c>
      <c r="E161" s="11">
        <v>16158.0</v>
      </c>
      <c r="F161" s="10" t="s">
        <v>106</v>
      </c>
      <c r="G161" s="10" t="s">
        <v>535</v>
      </c>
      <c r="H161" s="10">
        <v>1.158922175E9</v>
      </c>
      <c r="I161" s="10" t="s">
        <v>92</v>
      </c>
      <c r="J161" s="10" t="s">
        <v>85</v>
      </c>
      <c r="K161" s="10" t="s">
        <v>134</v>
      </c>
      <c r="L161" s="10">
        <v>92.0</v>
      </c>
      <c r="M161" s="10" t="s">
        <v>629</v>
      </c>
      <c r="N161" s="10" t="s">
        <v>75</v>
      </c>
      <c r="O161" s="10" t="s">
        <v>669</v>
      </c>
      <c r="P161" s="10" t="s">
        <v>74</v>
      </c>
      <c r="Q161" s="10"/>
      <c r="R161" s="10" t="s">
        <v>73</v>
      </c>
      <c r="S161" s="10" t="s">
        <v>73</v>
      </c>
      <c r="T161" s="10" t="s">
        <v>73</v>
      </c>
      <c r="U161" s="10" t="s">
        <v>75</v>
      </c>
      <c r="V161" s="10" t="s">
        <v>670</v>
      </c>
      <c r="W161" s="10" t="s">
        <v>137</v>
      </c>
      <c r="X161" s="10"/>
      <c r="Y161" s="10" t="s">
        <v>73</v>
      </c>
      <c r="Z161" s="10"/>
      <c r="AA161" s="10" t="s">
        <v>75</v>
      </c>
      <c r="AB161" s="12" t="s">
        <v>112</v>
      </c>
      <c r="AC161" s="10" t="s">
        <v>82</v>
      </c>
      <c r="AD161" s="10" t="s">
        <v>78</v>
      </c>
      <c r="AE161" s="13" t="s">
        <v>138</v>
      </c>
      <c r="AF161" s="6"/>
      <c r="AG161" s="10" t="s">
        <v>82</v>
      </c>
      <c r="AH161" s="10" t="s">
        <v>82</v>
      </c>
      <c r="AI161" s="10"/>
      <c r="AJ161" s="10"/>
      <c r="AK161" s="10"/>
      <c r="AL161" s="10"/>
      <c r="AM161" s="10"/>
      <c r="AN161" s="42"/>
      <c r="AO161" s="42"/>
      <c r="AP161" s="42"/>
      <c r="AQ161" s="42"/>
      <c r="AR161" s="42"/>
      <c r="AS161" s="42"/>
      <c r="AT161" s="42"/>
      <c r="AU161" s="42"/>
      <c r="AV161" s="42"/>
      <c r="AW161" s="42"/>
      <c r="AX161" s="42"/>
      <c r="AY161" s="42"/>
      <c r="AZ161" s="42"/>
      <c r="BA161" s="42"/>
      <c r="BB161" s="42"/>
      <c r="BC161" s="42"/>
      <c r="BD161" s="42"/>
      <c r="BE161" s="42"/>
      <c r="BF161" s="14">
        <v>44972.0</v>
      </c>
      <c r="BG161" s="7" t="s">
        <v>75</v>
      </c>
      <c r="BH161" s="7" t="s">
        <v>1</v>
      </c>
      <c r="BI161" s="15">
        <f t="shared" si="1"/>
        <v>79</v>
      </c>
      <c r="BJ161" s="15" t="str">
        <f t="shared" si="3"/>
        <v>&gt;55</v>
      </c>
      <c r="BK161" s="15" t="s">
        <v>75</v>
      </c>
      <c r="BL161" s="47" t="s">
        <v>652</v>
      </c>
      <c r="BM161" s="18" t="s">
        <v>447</v>
      </c>
      <c r="BN161" s="10"/>
    </row>
    <row r="162" ht="15.75" customHeight="1">
      <c r="A162" s="1">
        <v>175.0</v>
      </c>
      <c r="B162" s="2">
        <v>176.0</v>
      </c>
      <c r="C162" s="9">
        <v>44981.59620202547</v>
      </c>
      <c r="D162" s="10" t="s">
        <v>671</v>
      </c>
      <c r="E162" s="11">
        <v>22690.0</v>
      </c>
      <c r="F162" s="10" t="s">
        <v>106</v>
      </c>
      <c r="G162" s="10" t="s">
        <v>535</v>
      </c>
      <c r="H162" s="10">
        <v>1.139580471E9</v>
      </c>
      <c r="I162" s="10" t="s">
        <v>449</v>
      </c>
      <c r="J162" s="10" t="s">
        <v>85</v>
      </c>
      <c r="K162" s="10" t="s">
        <v>134</v>
      </c>
      <c r="L162" s="10">
        <v>90.0</v>
      </c>
      <c r="M162" s="10" t="s">
        <v>648</v>
      </c>
      <c r="N162" s="10" t="s">
        <v>73</v>
      </c>
      <c r="O162" s="10"/>
      <c r="P162" s="10" t="s">
        <v>74</v>
      </c>
      <c r="Q162" s="10"/>
      <c r="R162" s="10" t="s">
        <v>73</v>
      </c>
      <c r="S162" s="10" t="s">
        <v>73</v>
      </c>
      <c r="T162" s="10" t="s">
        <v>73</v>
      </c>
      <c r="U162" s="10" t="s">
        <v>73</v>
      </c>
      <c r="V162" s="10"/>
      <c r="W162" s="10"/>
      <c r="X162" s="10"/>
      <c r="Y162" s="10" t="s">
        <v>73</v>
      </c>
      <c r="Z162" s="10"/>
      <c r="AA162" s="10" t="s">
        <v>73</v>
      </c>
      <c r="AB162" s="12"/>
      <c r="AC162" s="10" t="s">
        <v>82</v>
      </c>
      <c r="AD162" s="10" t="s">
        <v>506</v>
      </c>
      <c r="AE162" s="13" t="s">
        <v>205</v>
      </c>
      <c r="AF162" s="6"/>
      <c r="AG162" s="10" t="s">
        <v>82</v>
      </c>
      <c r="AH162" s="10" t="s">
        <v>82</v>
      </c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4">
        <v>44972.0</v>
      </c>
      <c r="BG162" s="7" t="s">
        <v>75</v>
      </c>
      <c r="BH162" s="7" t="s">
        <v>1</v>
      </c>
      <c r="BI162" s="15">
        <f t="shared" si="1"/>
        <v>61</v>
      </c>
      <c r="BJ162" s="15" t="str">
        <f t="shared" si="3"/>
        <v>&gt;55</v>
      </c>
      <c r="BK162" s="15" t="s">
        <v>75</v>
      </c>
      <c r="BL162" s="15" t="s">
        <v>75</v>
      </c>
      <c r="BM162" s="18" t="s">
        <v>447</v>
      </c>
      <c r="BN162" s="10"/>
    </row>
    <row r="163" ht="15.75" customHeight="1">
      <c r="A163" s="1">
        <v>174.0</v>
      </c>
      <c r="B163" s="2">
        <v>177.0</v>
      </c>
      <c r="C163" s="9">
        <v>44981.594549409725</v>
      </c>
      <c r="D163" s="10" t="s">
        <v>672</v>
      </c>
      <c r="E163" s="11">
        <v>19116.0</v>
      </c>
      <c r="F163" s="10" t="s">
        <v>106</v>
      </c>
      <c r="G163" s="10" t="s">
        <v>535</v>
      </c>
      <c r="H163" s="10" t="s">
        <v>137</v>
      </c>
      <c r="I163" s="10" t="s">
        <v>449</v>
      </c>
      <c r="J163" s="10" t="s">
        <v>85</v>
      </c>
      <c r="K163" s="10" t="s">
        <v>134</v>
      </c>
      <c r="L163" s="10">
        <v>82.0</v>
      </c>
      <c r="M163" s="10" t="s">
        <v>72</v>
      </c>
      <c r="N163" s="10" t="s">
        <v>75</v>
      </c>
      <c r="O163" s="10" t="s">
        <v>673</v>
      </c>
      <c r="P163" s="10" t="s">
        <v>74</v>
      </c>
      <c r="Q163" s="10"/>
      <c r="R163" s="10" t="s">
        <v>73</v>
      </c>
      <c r="S163" s="10" t="s">
        <v>73</v>
      </c>
      <c r="T163" s="10" t="s">
        <v>73</v>
      </c>
      <c r="U163" s="10" t="s">
        <v>75</v>
      </c>
      <c r="V163" s="10" t="s">
        <v>674</v>
      </c>
      <c r="W163" s="10" t="s">
        <v>137</v>
      </c>
      <c r="X163" s="10"/>
      <c r="Y163" s="10" t="s">
        <v>73</v>
      </c>
      <c r="Z163" s="10"/>
      <c r="AA163" s="10" t="s">
        <v>73</v>
      </c>
      <c r="AB163" s="12"/>
      <c r="AC163" s="10" t="s">
        <v>82</v>
      </c>
      <c r="AD163" s="10" t="s">
        <v>78</v>
      </c>
      <c r="AE163" s="13" t="s">
        <v>205</v>
      </c>
      <c r="AF163" s="6"/>
      <c r="AG163" s="10" t="s">
        <v>82</v>
      </c>
      <c r="AH163" s="10" t="s">
        <v>82</v>
      </c>
      <c r="AI163" s="10"/>
      <c r="AJ163" s="10"/>
      <c r="AK163" s="10"/>
      <c r="AL163" s="10"/>
      <c r="AM163" s="10"/>
      <c r="AN163" s="42"/>
      <c r="AO163" s="42"/>
      <c r="AP163" s="42"/>
      <c r="AQ163" s="42"/>
      <c r="AR163" s="42"/>
      <c r="AS163" s="42"/>
      <c r="AT163" s="42"/>
      <c r="AU163" s="42"/>
      <c r="AV163" s="42"/>
      <c r="AW163" s="42"/>
      <c r="AX163" s="42"/>
      <c r="AY163" s="42"/>
      <c r="AZ163" s="42"/>
      <c r="BA163" s="42"/>
      <c r="BB163" s="42"/>
      <c r="BC163" s="42"/>
      <c r="BD163" s="42"/>
      <c r="BE163" s="42"/>
      <c r="BF163" s="14">
        <v>44972.0</v>
      </c>
      <c r="BG163" s="7" t="s">
        <v>75</v>
      </c>
      <c r="BH163" s="7" t="s">
        <v>1</v>
      </c>
      <c r="BI163" s="15">
        <f t="shared" si="1"/>
        <v>71</v>
      </c>
      <c r="BJ163" s="15" t="str">
        <f t="shared" si="3"/>
        <v>&gt;55</v>
      </c>
      <c r="BK163" s="15" t="s">
        <v>75</v>
      </c>
      <c r="BL163" s="15" t="s">
        <v>75</v>
      </c>
      <c r="BM163" s="18" t="s">
        <v>447</v>
      </c>
      <c r="BN163" s="10"/>
    </row>
    <row r="164" ht="15.75" customHeight="1">
      <c r="A164" s="1">
        <v>173.0</v>
      </c>
      <c r="B164" s="2">
        <v>178.0</v>
      </c>
      <c r="C164" s="9">
        <v>44981.5919171875</v>
      </c>
      <c r="D164" s="10" t="s">
        <v>675</v>
      </c>
      <c r="E164" s="11">
        <v>16917.0</v>
      </c>
      <c r="F164" s="10" t="s">
        <v>106</v>
      </c>
      <c r="G164" s="10" t="s">
        <v>535</v>
      </c>
      <c r="H164" s="10">
        <v>1.16356574E9</v>
      </c>
      <c r="I164" s="10" t="s">
        <v>92</v>
      </c>
      <c r="J164" s="10" t="s">
        <v>70</v>
      </c>
      <c r="K164" s="10" t="s">
        <v>86</v>
      </c>
      <c r="L164" s="10">
        <v>91.0</v>
      </c>
      <c r="M164" s="10" t="s">
        <v>167</v>
      </c>
      <c r="N164" s="10" t="s">
        <v>75</v>
      </c>
      <c r="O164" s="10" t="s">
        <v>676</v>
      </c>
      <c r="P164" s="10" t="s">
        <v>74</v>
      </c>
      <c r="Q164" s="10"/>
      <c r="R164" s="10" t="s">
        <v>73</v>
      </c>
      <c r="S164" s="10" t="s">
        <v>73</v>
      </c>
      <c r="T164" s="10" t="s">
        <v>73</v>
      </c>
      <c r="U164" s="10" t="s">
        <v>75</v>
      </c>
      <c r="V164" s="10" t="s">
        <v>677</v>
      </c>
      <c r="W164" s="10" t="s">
        <v>137</v>
      </c>
      <c r="X164" s="10"/>
      <c r="Y164" s="10" t="s">
        <v>73</v>
      </c>
      <c r="Z164" s="10"/>
      <c r="AA164" s="10" t="s">
        <v>75</v>
      </c>
      <c r="AB164" s="12" t="s">
        <v>76</v>
      </c>
      <c r="AC164" s="10" t="s">
        <v>82</v>
      </c>
      <c r="AD164" s="10" t="s">
        <v>94</v>
      </c>
      <c r="AE164" s="13" t="s">
        <v>205</v>
      </c>
      <c r="AF164" s="6"/>
      <c r="AG164" s="10" t="s">
        <v>82</v>
      </c>
      <c r="AH164" s="10" t="s">
        <v>82</v>
      </c>
      <c r="AI164" s="10"/>
      <c r="AJ164" s="10"/>
      <c r="AK164" s="10"/>
      <c r="AL164" s="10"/>
      <c r="AM164" s="10"/>
      <c r="AN164" s="42"/>
      <c r="AO164" s="42"/>
      <c r="AP164" s="42"/>
      <c r="AQ164" s="42"/>
      <c r="AR164" s="42"/>
      <c r="AS164" s="42"/>
      <c r="AT164" s="42"/>
      <c r="AU164" s="42"/>
      <c r="AV164" s="42"/>
      <c r="AW164" s="42"/>
      <c r="AX164" s="42"/>
      <c r="AY164" s="42"/>
      <c r="AZ164" s="42"/>
      <c r="BA164" s="42"/>
      <c r="BB164" s="42"/>
      <c r="BC164" s="42"/>
      <c r="BD164" s="42"/>
      <c r="BE164" s="42"/>
      <c r="BF164" s="14">
        <v>44972.0</v>
      </c>
      <c r="BG164" s="7" t="s">
        <v>75</v>
      </c>
      <c r="BH164" s="7" t="s">
        <v>1</v>
      </c>
      <c r="BI164" s="15">
        <f t="shared" si="1"/>
        <v>77</v>
      </c>
      <c r="BJ164" s="15" t="str">
        <f t="shared" si="3"/>
        <v>&gt;55</v>
      </c>
      <c r="BK164" s="15" t="s">
        <v>75</v>
      </c>
      <c r="BL164" s="15" t="s">
        <v>75</v>
      </c>
      <c r="BM164" s="18" t="s">
        <v>447</v>
      </c>
      <c r="BN164" s="15" t="s">
        <v>75</v>
      </c>
    </row>
    <row r="165" ht="15.75" customHeight="1">
      <c r="A165" s="1">
        <v>187.0</v>
      </c>
      <c r="B165" s="2">
        <v>179.0</v>
      </c>
      <c r="C165" s="9">
        <v>44984.72203024305</v>
      </c>
      <c r="D165" s="10" t="s">
        <v>678</v>
      </c>
      <c r="E165" s="11">
        <v>37370.0</v>
      </c>
      <c r="F165" s="10" t="s">
        <v>106</v>
      </c>
      <c r="G165" s="10" t="s">
        <v>535</v>
      </c>
      <c r="H165" s="10">
        <v>1.12575798E9</v>
      </c>
      <c r="I165" s="10" t="s">
        <v>449</v>
      </c>
      <c r="J165" s="10" t="s">
        <v>85</v>
      </c>
      <c r="K165" s="10" t="s">
        <v>134</v>
      </c>
      <c r="L165" s="10">
        <v>61.0</v>
      </c>
      <c r="M165" s="10" t="s">
        <v>629</v>
      </c>
      <c r="N165" s="10" t="s">
        <v>73</v>
      </c>
      <c r="O165" s="10"/>
      <c r="P165" s="10" t="s">
        <v>74</v>
      </c>
      <c r="Q165" s="10"/>
      <c r="R165" s="10" t="s">
        <v>73</v>
      </c>
      <c r="S165" s="10" t="s">
        <v>73</v>
      </c>
      <c r="T165" s="10" t="s">
        <v>73</v>
      </c>
      <c r="U165" s="10" t="s">
        <v>73</v>
      </c>
      <c r="V165" s="10"/>
      <c r="W165" s="10"/>
      <c r="X165" s="10"/>
      <c r="Y165" s="10" t="s">
        <v>73</v>
      </c>
      <c r="Z165" s="10"/>
      <c r="AA165" s="10" t="s">
        <v>73</v>
      </c>
      <c r="AB165" s="12"/>
      <c r="AC165" s="10" t="s">
        <v>95</v>
      </c>
      <c r="AD165" s="10" t="s">
        <v>94</v>
      </c>
      <c r="AE165" s="13" t="s">
        <v>205</v>
      </c>
      <c r="AF165" s="6"/>
      <c r="AG165" s="10" t="s">
        <v>82</v>
      </c>
      <c r="AH165" s="10" t="s">
        <v>82</v>
      </c>
      <c r="AI165" s="10"/>
      <c r="AJ165" s="10"/>
      <c r="AK165" s="10"/>
      <c r="AL165" s="10"/>
      <c r="AM165" s="10"/>
      <c r="AN165" s="42"/>
      <c r="AO165" s="42"/>
      <c r="AP165" s="42"/>
      <c r="AQ165" s="42"/>
      <c r="AR165" s="42"/>
      <c r="AS165" s="42"/>
      <c r="AT165" s="42"/>
      <c r="AU165" s="42"/>
      <c r="AV165" s="42"/>
      <c r="AW165" s="42"/>
      <c r="AX165" s="42"/>
      <c r="AY165" s="42"/>
      <c r="AZ165" s="42"/>
      <c r="BA165" s="42"/>
      <c r="BB165" s="42"/>
      <c r="BC165" s="42"/>
      <c r="BD165" s="42"/>
      <c r="BE165" s="42"/>
      <c r="BF165" s="14">
        <v>44972.0</v>
      </c>
      <c r="BG165" s="7" t="s">
        <v>75</v>
      </c>
      <c r="BH165" s="7" t="s">
        <v>1</v>
      </c>
      <c r="BI165" s="15">
        <f t="shared" si="1"/>
        <v>21</v>
      </c>
      <c r="BJ165" s="15" t="str">
        <f t="shared" si="3"/>
        <v>18-35</v>
      </c>
      <c r="BK165" s="15" t="s">
        <v>75</v>
      </c>
      <c r="BL165" s="15" t="s">
        <v>75</v>
      </c>
      <c r="BM165" s="59" t="s">
        <v>447</v>
      </c>
      <c r="BN165" s="15" t="s">
        <v>75</v>
      </c>
    </row>
    <row r="166" ht="15.75" customHeight="1">
      <c r="A166" s="1">
        <v>188.0</v>
      </c>
      <c r="B166" s="2">
        <v>180.0</v>
      </c>
      <c r="C166" s="9">
        <v>44984.723471516205</v>
      </c>
      <c r="D166" s="10" t="s">
        <v>679</v>
      </c>
      <c r="E166" s="11">
        <v>18902.0</v>
      </c>
      <c r="F166" s="10" t="s">
        <v>106</v>
      </c>
      <c r="G166" s="10" t="s">
        <v>535</v>
      </c>
      <c r="H166" s="10">
        <v>4.2030846E7</v>
      </c>
      <c r="I166" s="10" t="s">
        <v>92</v>
      </c>
      <c r="J166" s="10" t="s">
        <v>85</v>
      </c>
      <c r="K166" s="10" t="s">
        <v>134</v>
      </c>
      <c r="L166" s="10">
        <v>91.0</v>
      </c>
      <c r="M166" s="10" t="s">
        <v>516</v>
      </c>
      <c r="N166" s="10" t="s">
        <v>75</v>
      </c>
      <c r="O166" s="10" t="s">
        <v>571</v>
      </c>
      <c r="P166" s="10" t="s">
        <v>74</v>
      </c>
      <c r="Q166" s="10"/>
      <c r="R166" s="10" t="s">
        <v>73</v>
      </c>
      <c r="S166" s="10" t="s">
        <v>73</v>
      </c>
      <c r="T166" s="10" t="s">
        <v>73</v>
      </c>
      <c r="U166" s="10" t="s">
        <v>75</v>
      </c>
      <c r="V166" s="10" t="s">
        <v>554</v>
      </c>
      <c r="W166" s="10" t="s">
        <v>137</v>
      </c>
      <c r="X166" s="10"/>
      <c r="Y166" s="10" t="s">
        <v>73</v>
      </c>
      <c r="Z166" s="10"/>
      <c r="AA166" s="10" t="s">
        <v>73</v>
      </c>
      <c r="AB166" s="12"/>
      <c r="AC166" s="10" t="s">
        <v>82</v>
      </c>
      <c r="AD166" s="10" t="s">
        <v>94</v>
      </c>
      <c r="AE166" s="13" t="s">
        <v>205</v>
      </c>
      <c r="AF166" s="6"/>
      <c r="AG166" s="10" t="s">
        <v>82</v>
      </c>
      <c r="AH166" s="10" t="s">
        <v>82</v>
      </c>
      <c r="AI166" s="10"/>
      <c r="AJ166" s="10"/>
      <c r="AK166" s="10"/>
      <c r="AL166" s="10"/>
      <c r="AM166" s="10"/>
      <c r="AN166" s="42"/>
      <c r="AO166" s="42"/>
      <c r="AP166" s="42"/>
      <c r="AQ166" s="42"/>
      <c r="AR166" s="42"/>
      <c r="AS166" s="42"/>
      <c r="AT166" s="42"/>
      <c r="AU166" s="42"/>
      <c r="AV166" s="42"/>
      <c r="AW166" s="42"/>
      <c r="AX166" s="42"/>
      <c r="AY166" s="42"/>
      <c r="AZ166" s="42"/>
      <c r="BA166" s="42"/>
      <c r="BB166" s="42"/>
      <c r="BC166" s="42"/>
      <c r="BD166" s="42"/>
      <c r="BE166" s="42"/>
      <c r="BF166" s="14">
        <v>44972.0</v>
      </c>
      <c r="BG166" s="7" t="s">
        <v>75</v>
      </c>
      <c r="BH166" s="7" t="s">
        <v>1</v>
      </c>
      <c r="BI166" s="15">
        <f t="shared" si="1"/>
        <v>72</v>
      </c>
      <c r="BJ166" s="15" t="str">
        <f t="shared" si="3"/>
        <v>&gt;55</v>
      </c>
      <c r="BK166" s="15" t="s">
        <v>75</v>
      </c>
      <c r="BL166" s="15" t="s">
        <v>75</v>
      </c>
      <c r="BM166" s="18" t="s">
        <v>447</v>
      </c>
      <c r="BN166" s="15" t="s">
        <v>75</v>
      </c>
    </row>
    <row r="167" ht="15.75" customHeight="1">
      <c r="A167" s="1">
        <v>172.0</v>
      </c>
      <c r="B167" s="2">
        <v>181.0</v>
      </c>
      <c r="C167" s="17">
        <v>44981.406857118054</v>
      </c>
      <c r="D167" s="18" t="s">
        <v>680</v>
      </c>
      <c r="E167" s="19">
        <v>37175.0</v>
      </c>
      <c r="F167" s="18" t="s">
        <v>67</v>
      </c>
      <c r="G167" s="18" t="s">
        <v>681</v>
      </c>
      <c r="H167" s="18">
        <v>1.133731701E9</v>
      </c>
      <c r="I167" s="18" t="s">
        <v>92</v>
      </c>
      <c r="J167" s="18" t="s">
        <v>85</v>
      </c>
      <c r="K167" s="18" t="s">
        <v>71</v>
      </c>
      <c r="L167" s="18">
        <v>47.0</v>
      </c>
      <c r="M167" s="18" t="s">
        <v>265</v>
      </c>
      <c r="N167" s="18" t="s">
        <v>73</v>
      </c>
      <c r="O167" s="18"/>
      <c r="P167" s="18" t="s">
        <v>74</v>
      </c>
      <c r="Q167" s="18"/>
      <c r="R167" s="18" t="s">
        <v>73</v>
      </c>
      <c r="S167" s="18" t="s">
        <v>73</v>
      </c>
      <c r="T167" s="18" t="s">
        <v>73</v>
      </c>
      <c r="U167" s="18" t="s">
        <v>73</v>
      </c>
      <c r="V167" s="18"/>
      <c r="W167" s="18"/>
      <c r="X167" s="18"/>
      <c r="Y167" s="18"/>
      <c r="Z167" s="18"/>
      <c r="AA167" s="18"/>
      <c r="AB167" s="20"/>
      <c r="AC167" s="18"/>
      <c r="AD167" s="18"/>
      <c r="AE167" s="18"/>
      <c r="AF167" s="6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4">
        <v>45657.0</v>
      </c>
      <c r="BG167" s="7" t="s">
        <v>73</v>
      </c>
      <c r="BH167" s="7"/>
      <c r="BI167" s="15">
        <f t="shared" si="1"/>
        <v>23</v>
      </c>
      <c r="BJ167" s="15" t="str">
        <f t="shared" si="3"/>
        <v>18-35</v>
      </c>
      <c r="BK167" s="15"/>
      <c r="BL167" s="7"/>
      <c r="BM167" s="7"/>
      <c r="BN167" s="18"/>
    </row>
    <row r="168" ht="15.75" customHeight="1">
      <c r="A168" s="1">
        <v>180.0</v>
      </c>
      <c r="B168" s="2">
        <v>182.0</v>
      </c>
      <c r="C168" s="9">
        <v>44981.749992627316</v>
      </c>
      <c r="D168" s="10" t="s">
        <v>682</v>
      </c>
      <c r="E168" s="11">
        <v>23076.0</v>
      </c>
      <c r="F168" s="10" t="s">
        <v>67</v>
      </c>
      <c r="G168" s="10" t="s">
        <v>683</v>
      </c>
      <c r="H168" s="10">
        <v>1.168527619E9</v>
      </c>
      <c r="I168" s="10" t="s">
        <v>92</v>
      </c>
      <c r="J168" s="10" t="s">
        <v>85</v>
      </c>
      <c r="K168" s="10" t="s">
        <v>86</v>
      </c>
      <c r="L168" s="10">
        <v>58.0</v>
      </c>
      <c r="M168" s="10" t="s">
        <v>147</v>
      </c>
      <c r="N168" s="10" t="s">
        <v>75</v>
      </c>
      <c r="O168" s="10" t="s">
        <v>684</v>
      </c>
      <c r="P168" s="10" t="s">
        <v>74</v>
      </c>
      <c r="Q168" s="10"/>
      <c r="R168" s="10" t="s">
        <v>73</v>
      </c>
      <c r="S168" s="10" t="s">
        <v>73</v>
      </c>
      <c r="T168" s="10" t="s">
        <v>73</v>
      </c>
      <c r="U168" s="10" t="s">
        <v>73</v>
      </c>
      <c r="V168" s="10"/>
      <c r="W168" s="10"/>
      <c r="X168" s="10"/>
      <c r="Y168" s="10" t="s">
        <v>73</v>
      </c>
      <c r="Z168" s="10"/>
      <c r="AA168" s="10" t="s">
        <v>75</v>
      </c>
      <c r="AB168" s="12" t="s">
        <v>76</v>
      </c>
      <c r="AC168" s="10" t="s">
        <v>77</v>
      </c>
      <c r="AD168" s="10" t="s">
        <v>78</v>
      </c>
      <c r="AE168" s="13" t="s">
        <v>138</v>
      </c>
      <c r="AF168" s="6"/>
      <c r="AG168" s="10" t="s">
        <v>81</v>
      </c>
      <c r="AH168" s="10" t="s">
        <v>96</v>
      </c>
      <c r="AI168" s="21" t="s">
        <v>685</v>
      </c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4">
        <v>44975.0</v>
      </c>
      <c r="BG168" s="7" t="s">
        <v>75</v>
      </c>
      <c r="BH168" s="7" t="s">
        <v>604</v>
      </c>
      <c r="BI168" s="15">
        <f t="shared" si="1"/>
        <v>60</v>
      </c>
      <c r="BJ168" s="15" t="str">
        <f t="shared" si="3"/>
        <v>&gt;55</v>
      </c>
      <c r="BK168" s="15" t="s">
        <v>75</v>
      </c>
      <c r="BL168" s="15" t="s">
        <v>75</v>
      </c>
      <c r="BM168" s="60"/>
      <c r="BN168" s="15" t="s">
        <v>75</v>
      </c>
    </row>
    <row r="169" ht="15.75" customHeight="1">
      <c r="A169" s="2">
        <v>183.0</v>
      </c>
      <c r="B169" s="2">
        <v>183.0</v>
      </c>
      <c r="C169" s="9">
        <v>44982.5362490625</v>
      </c>
      <c r="D169" s="10" t="s">
        <v>686</v>
      </c>
      <c r="E169" s="11">
        <v>35138.0</v>
      </c>
      <c r="F169" s="10" t="s">
        <v>106</v>
      </c>
      <c r="G169" s="10" t="s">
        <v>687</v>
      </c>
      <c r="H169" s="10">
        <v>1.5512687E9</v>
      </c>
      <c r="I169" s="10" t="s">
        <v>92</v>
      </c>
      <c r="J169" s="10" t="s">
        <v>70</v>
      </c>
      <c r="K169" s="10" t="s">
        <v>71</v>
      </c>
      <c r="L169" s="10">
        <v>75.0</v>
      </c>
      <c r="M169" s="10" t="s">
        <v>629</v>
      </c>
      <c r="N169" s="10" t="s">
        <v>73</v>
      </c>
      <c r="O169" s="10"/>
      <c r="P169" s="10" t="s">
        <v>74</v>
      </c>
      <c r="Q169" s="10"/>
      <c r="R169" s="10" t="s">
        <v>73</v>
      </c>
      <c r="S169" s="10" t="s">
        <v>73</v>
      </c>
      <c r="T169" s="10" t="s">
        <v>73</v>
      </c>
      <c r="U169" s="10" t="s">
        <v>75</v>
      </c>
      <c r="V169" s="10" t="s">
        <v>688</v>
      </c>
      <c r="W169" s="10" t="s">
        <v>689</v>
      </c>
      <c r="X169" s="10"/>
      <c r="Y169" s="10" t="s">
        <v>73</v>
      </c>
      <c r="Z169" s="10"/>
      <c r="AA169" s="10" t="s">
        <v>75</v>
      </c>
      <c r="AB169" s="12" t="s">
        <v>76</v>
      </c>
      <c r="AC169" s="10" t="s">
        <v>77</v>
      </c>
      <c r="AD169" s="10" t="s">
        <v>94</v>
      </c>
      <c r="AE169" s="13" t="s">
        <v>205</v>
      </c>
      <c r="AF169" s="6"/>
      <c r="AG169" s="10" t="s">
        <v>81</v>
      </c>
      <c r="AH169" s="10" t="s">
        <v>82</v>
      </c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4">
        <v>44975.0</v>
      </c>
      <c r="BG169" s="7" t="s">
        <v>75</v>
      </c>
      <c r="BH169" s="7" t="s">
        <v>604</v>
      </c>
      <c r="BI169" s="15">
        <f t="shared" si="1"/>
        <v>27</v>
      </c>
      <c r="BJ169" s="15" t="str">
        <f t="shared" si="3"/>
        <v>18-35</v>
      </c>
      <c r="BK169" s="15" t="s">
        <v>75</v>
      </c>
      <c r="BL169" s="25" t="s">
        <v>114</v>
      </c>
      <c r="BM169" s="7"/>
      <c r="BN169" s="10"/>
    </row>
    <row r="170" ht="15.75" customHeight="1">
      <c r="A170" s="1">
        <v>182.0</v>
      </c>
      <c r="B170" s="2">
        <v>184.0</v>
      </c>
      <c r="C170" s="9">
        <v>44982.652985</v>
      </c>
      <c r="D170" s="10" t="s">
        <v>690</v>
      </c>
      <c r="E170" s="11">
        <v>23691.0</v>
      </c>
      <c r="F170" s="10" t="s">
        <v>67</v>
      </c>
      <c r="G170" s="10" t="s">
        <v>691</v>
      </c>
      <c r="H170" s="10">
        <v>1.168529369E9</v>
      </c>
      <c r="I170" s="10" t="s">
        <v>92</v>
      </c>
      <c r="J170" s="10" t="s">
        <v>85</v>
      </c>
      <c r="K170" s="10" t="s">
        <v>86</v>
      </c>
      <c r="L170" s="10">
        <v>60.5</v>
      </c>
      <c r="M170" s="10" t="s">
        <v>177</v>
      </c>
      <c r="N170" s="10" t="s">
        <v>75</v>
      </c>
      <c r="O170" s="10" t="s">
        <v>692</v>
      </c>
      <c r="P170" s="10" t="s">
        <v>74</v>
      </c>
      <c r="Q170" s="10"/>
      <c r="R170" s="10" t="s">
        <v>73</v>
      </c>
      <c r="S170" s="10" t="s">
        <v>73</v>
      </c>
      <c r="T170" s="10" t="s">
        <v>73</v>
      </c>
      <c r="U170" s="10" t="s">
        <v>75</v>
      </c>
      <c r="V170" s="10" t="s">
        <v>693</v>
      </c>
      <c r="W170" s="10" t="s">
        <v>694</v>
      </c>
      <c r="X170" s="10"/>
      <c r="Y170" s="10" t="s">
        <v>73</v>
      </c>
      <c r="Z170" s="10"/>
      <c r="AA170" s="10" t="s">
        <v>75</v>
      </c>
      <c r="AB170" s="12" t="s">
        <v>76</v>
      </c>
      <c r="AC170" s="10" t="s">
        <v>77</v>
      </c>
      <c r="AD170" s="10" t="s">
        <v>78</v>
      </c>
      <c r="AE170" s="13" t="s">
        <v>79</v>
      </c>
      <c r="AF170" s="6"/>
      <c r="AG170" s="10" t="s">
        <v>95</v>
      </c>
      <c r="AH170" s="10" t="s">
        <v>96</v>
      </c>
      <c r="AI170" s="21" t="s">
        <v>695</v>
      </c>
      <c r="AJ170" s="10"/>
      <c r="AK170" s="10"/>
      <c r="AL170" s="10"/>
      <c r="AM170" s="10"/>
      <c r="AN170" s="42"/>
      <c r="AO170" s="42"/>
      <c r="AP170" s="42"/>
      <c r="AQ170" s="42"/>
      <c r="AR170" s="42"/>
      <c r="AS170" s="42"/>
      <c r="AT170" s="42"/>
      <c r="AU170" s="42"/>
      <c r="AV170" s="42"/>
      <c r="AW170" s="42"/>
      <c r="AX170" s="42"/>
      <c r="AY170" s="42"/>
      <c r="AZ170" s="42"/>
      <c r="BA170" s="42"/>
      <c r="BB170" s="42"/>
      <c r="BC170" s="42"/>
      <c r="BD170" s="42"/>
      <c r="BE170" s="42"/>
      <c r="BF170" s="14">
        <v>44975.0</v>
      </c>
      <c r="BG170" s="7" t="s">
        <v>75</v>
      </c>
      <c r="BH170" s="7" t="s">
        <v>604</v>
      </c>
      <c r="BI170" s="15">
        <f t="shared" si="1"/>
        <v>59</v>
      </c>
      <c r="BJ170" s="15" t="str">
        <f t="shared" si="3"/>
        <v>&gt;55</v>
      </c>
      <c r="BK170" s="15" t="s">
        <v>75</v>
      </c>
      <c r="BL170" s="15" t="s">
        <v>75</v>
      </c>
      <c r="BM170" s="60"/>
      <c r="BN170" s="15" t="s">
        <v>75</v>
      </c>
    </row>
    <row r="171" ht="15.75" customHeight="1">
      <c r="A171" s="1">
        <v>184.0</v>
      </c>
      <c r="B171" s="2">
        <v>185.0</v>
      </c>
      <c r="C171" s="9">
        <v>44983.83092158565</v>
      </c>
      <c r="D171" s="10" t="s">
        <v>696</v>
      </c>
      <c r="E171" s="11">
        <v>23919.0</v>
      </c>
      <c r="F171" s="10" t="s">
        <v>67</v>
      </c>
      <c r="G171" s="10" t="s">
        <v>697</v>
      </c>
      <c r="H171" s="10">
        <v>9.1153277857E10</v>
      </c>
      <c r="I171" s="10" t="s">
        <v>422</v>
      </c>
      <c r="J171" s="10" t="s">
        <v>70</v>
      </c>
      <c r="K171" s="10" t="s">
        <v>71</v>
      </c>
      <c r="L171" s="10">
        <v>75.0</v>
      </c>
      <c r="M171" s="10" t="s">
        <v>377</v>
      </c>
      <c r="N171" s="10" t="s">
        <v>75</v>
      </c>
      <c r="O171" s="10" t="s">
        <v>698</v>
      </c>
      <c r="P171" s="10" t="s">
        <v>74</v>
      </c>
      <c r="Q171" s="10"/>
      <c r="R171" s="10" t="s">
        <v>73</v>
      </c>
      <c r="S171" s="10" t="s">
        <v>73</v>
      </c>
      <c r="T171" s="10" t="s">
        <v>73</v>
      </c>
      <c r="U171" s="10" t="s">
        <v>75</v>
      </c>
      <c r="V171" s="10" t="s">
        <v>699</v>
      </c>
      <c r="W171" s="10" t="s">
        <v>700</v>
      </c>
      <c r="X171" s="10"/>
      <c r="Y171" s="10" t="s">
        <v>73</v>
      </c>
      <c r="Z171" s="10"/>
      <c r="AA171" s="10" t="s">
        <v>73</v>
      </c>
      <c r="AB171" s="12"/>
      <c r="AC171" s="10" t="s">
        <v>95</v>
      </c>
      <c r="AD171" s="10" t="s">
        <v>94</v>
      </c>
      <c r="AE171" s="13" t="s">
        <v>205</v>
      </c>
      <c r="AF171" s="6"/>
      <c r="AG171" s="10" t="s">
        <v>82</v>
      </c>
      <c r="AH171" s="10" t="s">
        <v>82</v>
      </c>
      <c r="AI171" s="10"/>
      <c r="AJ171" s="10"/>
      <c r="AK171" s="10"/>
      <c r="AL171" s="10"/>
      <c r="AM171" s="10"/>
      <c r="AN171" s="42"/>
      <c r="AO171" s="42"/>
      <c r="AP171" s="42"/>
      <c r="AQ171" s="42"/>
      <c r="AR171" s="42"/>
      <c r="AS171" s="42"/>
      <c r="AT171" s="42"/>
      <c r="AU171" s="42"/>
      <c r="AV171" s="42"/>
      <c r="AW171" s="42"/>
      <c r="AX171" s="42"/>
      <c r="AY171" s="42"/>
      <c r="AZ171" s="42"/>
      <c r="BA171" s="42"/>
      <c r="BB171" s="42"/>
      <c r="BC171" s="42"/>
      <c r="BD171" s="42"/>
      <c r="BE171" s="42"/>
      <c r="BF171" s="14">
        <v>44975.0</v>
      </c>
      <c r="BG171" s="7" t="s">
        <v>75</v>
      </c>
      <c r="BH171" s="7" t="s">
        <v>604</v>
      </c>
      <c r="BI171" s="15">
        <f t="shared" si="1"/>
        <v>58</v>
      </c>
      <c r="BJ171" s="15" t="str">
        <f t="shared" si="3"/>
        <v>&gt;55</v>
      </c>
      <c r="BK171" s="15" t="s">
        <v>75</v>
      </c>
      <c r="BL171" s="15" t="s">
        <v>75</v>
      </c>
      <c r="BM171" s="60"/>
      <c r="BN171" s="15" t="s">
        <v>75</v>
      </c>
    </row>
    <row r="172" ht="15.75" customHeight="1">
      <c r="A172" s="1">
        <v>185.0</v>
      </c>
      <c r="B172" s="2">
        <v>187.0</v>
      </c>
      <c r="C172" s="9">
        <v>44983.946936030094</v>
      </c>
      <c r="D172" s="10" t="s">
        <v>701</v>
      </c>
      <c r="E172" s="11">
        <v>24330.0</v>
      </c>
      <c r="F172" s="10" t="s">
        <v>67</v>
      </c>
      <c r="G172" s="10" t="s">
        <v>702</v>
      </c>
      <c r="H172" s="10">
        <v>1.163676046E9</v>
      </c>
      <c r="I172" s="10" t="s">
        <v>449</v>
      </c>
      <c r="J172" s="10" t="s">
        <v>85</v>
      </c>
      <c r="K172" s="10" t="s">
        <v>134</v>
      </c>
      <c r="L172" s="10">
        <v>47.0</v>
      </c>
      <c r="M172" s="10" t="s">
        <v>703</v>
      </c>
      <c r="N172" s="10" t="s">
        <v>73</v>
      </c>
      <c r="O172" s="10"/>
      <c r="P172" s="10" t="s">
        <v>74</v>
      </c>
      <c r="Q172" s="10"/>
      <c r="R172" s="10" t="s">
        <v>73</v>
      </c>
      <c r="S172" s="10" t="s">
        <v>73</v>
      </c>
      <c r="T172" s="10" t="s">
        <v>73</v>
      </c>
      <c r="U172" s="10" t="s">
        <v>73</v>
      </c>
      <c r="V172" s="10"/>
      <c r="W172" s="10"/>
      <c r="X172" s="10"/>
      <c r="Y172" s="10" t="s">
        <v>73</v>
      </c>
      <c r="Z172" s="10"/>
      <c r="AA172" s="10" t="s">
        <v>73</v>
      </c>
      <c r="AB172" s="12"/>
      <c r="AC172" s="10" t="s">
        <v>77</v>
      </c>
      <c r="AD172" s="10" t="s">
        <v>94</v>
      </c>
      <c r="AE172" s="13" t="s">
        <v>79</v>
      </c>
      <c r="AF172" s="6"/>
      <c r="AG172" s="10" t="s">
        <v>95</v>
      </c>
      <c r="AH172" s="10" t="s">
        <v>96</v>
      </c>
      <c r="AI172" s="21" t="s">
        <v>704</v>
      </c>
      <c r="AJ172" s="10"/>
      <c r="AK172" s="10"/>
      <c r="AL172" s="10"/>
      <c r="AM172" s="10"/>
      <c r="AN172" s="42"/>
      <c r="AO172" s="42"/>
      <c r="AP172" s="42"/>
      <c r="AQ172" s="42"/>
      <c r="AR172" s="42"/>
      <c r="AS172" s="42"/>
      <c r="AT172" s="42"/>
      <c r="AU172" s="42"/>
      <c r="AV172" s="42"/>
      <c r="AW172" s="42"/>
      <c r="AX172" s="42"/>
      <c r="AY172" s="42"/>
      <c r="AZ172" s="42"/>
      <c r="BA172" s="42"/>
      <c r="BB172" s="42"/>
      <c r="BC172" s="42"/>
      <c r="BD172" s="42"/>
      <c r="BE172" s="42"/>
      <c r="BF172" s="14">
        <v>44975.0</v>
      </c>
      <c r="BG172" s="7" t="s">
        <v>75</v>
      </c>
      <c r="BH172" s="7" t="s">
        <v>604</v>
      </c>
      <c r="BI172" s="15">
        <f t="shared" si="1"/>
        <v>57</v>
      </c>
      <c r="BJ172" s="15" t="str">
        <f t="shared" si="3"/>
        <v>&gt;55</v>
      </c>
      <c r="BK172" s="15"/>
      <c r="BL172" s="7"/>
      <c r="BM172" s="7"/>
      <c r="BN172" s="10"/>
    </row>
    <row r="173" ht="15.75" customHeight="1">
      <c r="A173" s="1">
        <v>186.0</v>
      </c>
      <c r="B173" s="2">
        <v>188.0</v>
      </c>
      <c r="C173" s="52">
        <v>44984.50002569445</v>
      </c>
      <c r="D173" s="53" t="s">
        <v>705</v>
      </c>
      <c r="E173" s="54">
        <v>35701.0</v>
      </c>
      <c r="F173" s="53" t="s">
        <v>106</v>
      </c>
      <c r="G173" s="53" t="s">
        <v>706</v>
      </c>
      <c r="H173" s="53">
        <v>5.491164473164E12</v>
      </c>
      <c r="I173" s="53" t="s">
        <v>449</v>
      </c>
      <c r="J173" s="53" t="s">
        <v>85</v>
      </c>
      <c r="K173" s="53" t="s">
        <v>71</v>
      </c>
      <c r="L173" s="53">
        <v>67.0</v>
      </c>
      <c r="M173" s="53">
        <v>1.7</v>
      </c>
      <c r="N173" s="53" t="s">
        <v>73</v>
      </c>
      <c r="O173" s="53"/>
      <c r="P173" s="53" t="s">
        <v>358</v>
      </c>
      <c r="Q173" s="53"/>
      <c r="R173" s="53" t="s">
        <v>75</v>
      </c>
      <c r="S173" s="53" t="s">
        <v>73</v>
      </c>
      <c r="T173" s="53" t="s">
        <v>73</v>
      </c>
      <c r="U173" s="53" t="s">
        <v>73</v>
      </c>
      <c r="V173" s="53"/>
      <c r="W173" s="53"/>
      <c r="X173" s="53"/>
      <c r="Y173" s="53"/>
      <c r="Z173" s="53"/>
      <c r="AA173" s="53"/>
      <c r="AB173" s="55"/>
      <c r="AC173" s="53"/>
      <c r="AD173" s="53"/>
      <c r="AE173" s="53"/>
      <c r="AF173" s="6"/>
      <c r="AG173" s="53"/>
      <c r="AH173" s="53"/>
      <c r="AI173" s="53"/>
      <c r="AJ173" s="53"/>
      <c r="AK173" s="53"/>
      <c r="AL173" s="53"/>
      <c r="AM173" s="53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14">
        <v>45657.0</v>
      </c>
      <c r="BG173" s="7" t="s">
        <v>73</v>
      </c>
      <c r="BH173" s="7"/>
      <c r="BI173" s="15">
        <f t="shared" si="1"/>
        <v>27</v>
      </c>
      <c r="BJ173" s="15" t="str">
        <f t="shared" si="3"/>
        <v>18-35</v>
      </c>
      <c r="BK173" s="15"/>
      <c r="BL173" s="7"/>
      <c r="BM173" s="7"/>
      <c r="BN173" s="53"/>
    </row>
    <row r="174" ht="15.75" customHeight="1">
      <c r="A174" s="1">
        <v>189.0</v>
      </c>
      <c r="B174" s="2">
        <v>189.0</v>
      </c>
      <c r="C174" s="9">
        <v>44986.46080774306</v>
      </c>
      <c r="D174" s="10" t="s">
        <v>707</v>
      </c>
      <c r="E174" s="11">
        <v>29823.0</v>
      </c>
      <c r="F174" s="10" t="s">
        <v>106</v>
      </c>
      <c r="G174" s="10" t="s">
        <v>708</v>
      </c>
      <c r="H174" s="10">
        <v>1.155851712E9</v>
      </c>
      <c r="I174" s="10" t="s">
        <v>449</v>
      </c>
      <c r="J174" s="10" t="s">
        <v>85</v>
      </c>
      <c r="K174" s="10" t="s">
        <v>134</v>
      </c>
      <c r="L174" s="10">
        <v>88.0</v>
      </c>
      <c r="M174" s="10">
        <v>1.79</v>
      </c>
      <c r="N174" s="10" t="s">
        <v>73</v>
      </c>
      <c r="O174" s="10"/>
      <c r="P174" s="10" t="s">
        <v>74</v>
      </c>
      <c r="Q174" s="10"/>
      <c r="R174" s="10" t="s">
        <v>73</v>
      </c>
      <c r="S174" s="10" t="s">
        <v>73</v>
      </c>
      <c r="T174" s="10" t="s">
        <v>73</v>
      </c>
      <c r="U174" s="10" t="s">
        <v>73</v>
      </c>
      <c r="V174" s="10"/>
      <c r="W174" s="10"/>
      <c r="X174" s="10"/>
      <c r="Y174" s="10" t="s">
        <v>73</v>
      </c>
      <c r="Z174" s="10"/>
      <c r="AA174" s="10" t="s">
        <v>75</v>
      </c>
      <c r="AB174" s="12" t="s">
        <v>112</v>
      </c>
      <c r="AC174" s="10" t="s">
        <v>77</v>
      </c>
      <c r="AD174" s="10" t="s">
        <v>78</v>
      </c>
      <c r="AE174" s="13" t="s">
        <v>138</v>
      </c>
      <c r="AF174" s="6"/>
      <c r="AG174" s="10" t="s">
        <v>81</v>
      </c>
      <c r="AH174" s="10" t="s">
        <v>82</v>
      </c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4">
        <v>44975.0</v>
      </c>
      <c r="BG174" s="7" t="s">
        <v>75</v>
      </c>
      <c r="BH174" s="7" t="s">
        <v>604</v>
      </c>
      <c r="BI174" s="15">
        <f t="shared" si="1"/>
        <v>42</v>
      </c>
      <c r="BJ174" s="15" t="str">
        <f t="shared" si="3"/>
        <v>35-55</v>
      </c>
      <c r="BK174" s="15" t="s">
        <v>75</v>
      </c>
      <c r="BL174" s="15" t="s">
        <v>75</v>
      </c>
      <c r="BM174" s="60"/>
      <c r="BN174" s="15" t="s">
        <v>75</v>
      </c>
    </row>
    <row r="175" ht="15.75" customHeight="1">
      <c r="A175" s="1">
        <v>190.0</v>
      </c>
      <c r="B175" s="2">
        <v>190.0</v>
      </c>
      <c r="C175" s="9">
        <v>44986.901474004626</v>
      </c>
      <c r="D175" s="10" t="s">
        <v>709</v>
      </c>
      <c r="E175" s="11">
        <v>35601.0</v>
      </c>
      <c r="F175" s="10" t="s">
        <v>67</v>
      </c>
      <c r="G175" s="10" t="s">
        <v>710</v>
      </c>
      <c r="H175" s="10">
        <v>1.160515636E9</v>
      </c>
      <c r="I175" s="10" t="s">
        <v>92</v>
      </c>
      <c r="J175" s="10" t="s">
        <v>146</v>
      </c>
      <c r="K175" s="10" t="s">
        <v>71</v>
      </c>
      <c r="L175" s="10">
        <v>53.0</v>
      </c>
      <c r="M175" s="10" t="s">
        <v>241</v>
      </c>
      <c r="N175" s="10" t="s">
        <v>73</v>
      </c>
      <c r="O175" s="10"/>
      <c r="P175" s="10" t="s">
        <v>74</v>
      </c>
      <c r="Q175" s="10"/>
      <c r="R175" s="10" t="s">
        <v>73</v>
      </c>
      <c r="S175" s="10" t="s">
        <v>73</v>
      </c>
      <c r="T175" s="10" t="s">
        <v>73</v>
      </c>
      <c r="U175" s="10" t="s">
        <v>73</v>
      </c>
      <c r="V175" s="10"/>
      <c r="W175" s="10"/>
      <c r="X175" s="10"/>
      <c r="Y175" s="10" t="s">
        <v>73</v>
      </c>
      <c r="Z175" s="10"/>
      <c r="AA175" s="10" t="s">
        <v>75</v>
      </c>
      <c r="AB175" s="12" t="s">
        <v>76</v>
      </c>
      <c r="AC175" s="10" t="s">
        <v>77</v>
      </c>
      <c r="AD175" s="10" t="s">
        <v>94</v>
      </c>
      <c r="AE175" s="13" t="s">
        <v>131</v>
      </c>
      <c r="AF175" s="6"/>
      <c r="AG175" s="10" t="s">
        <v>77</v>
      </c>
      <c r="AH175" s="10" t="s">
        <v>96</v>
      </c>
      <c r="AI175" s="21" t="s">
        <v>711</v>
      </c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4">
        <v>44975.0</v>
      </c>
      <c r="BG175" s="7" t="s">
        <v>75</v>
      </c>
      <c r="BH175" s="7" t="s">
        <v>604</v>
      </c>
      <c r="BI175" s="15">
        <f t="shared" si="1"/>
        <v>26</v>
      </c>
      <c r="BJ175" s="15" t="str">
        <f t="shared" si="3"/>
        <v>18-35</v>
      </c>
      <c r="BK175" s="15" t="s">
        <v>75</v>
      </c>
      <c r="BL175" s="15" t="s">
        <v>75</v>
      </c>
      <c r="BM175" s="60"/>
      <c r="BN175" s="15" t="s">
        <v>75</v>
      </c>
    </row>
    <row r="176" ht="15.75" customHeight="1">
      <c r="A176" s="1">
        <v>191.0</v>
      </c>
      <c r="B176" s="2">
        <v>191.0</v>
      </c>
      <c r="C176" s="9">
        <v>44986.95476605324</v>
      </c>
      <c r="D176" s="10" t="s">
        <v>712</v>
      </c>
      <c r="E176" s="11">
        <v>28677.0</v>
      </c>
      <c r="F176" s="10" t="s">
        <v>67</v>
      </c>
      <c r="G176" s="10" t="s">
        <v>713</v>
      </c>
      <c r="H176" s="10">
        <v>1.138803339E9</v>
      </c>
      <c r="I176" s="10" t="s">
        <v>92</v>
      </c>
      <c r="J176" s="10" t="s">
        <v>85</v>
      </c>
      <c r="K176" s="10" t="s">
        <v>86</v>
      </c>
      <c r="L176" s="10">
        <v>58.0</v>
      </c>
      <c r="M176" s="10" t="s">
        <v>177</v>
      </c>
      <c r="N176" s="10" t="s">
        <v>73</v>
      </c>
      <c r="O176" s="10"/>
      <c r="P176" s="10" t="s">
        <v>74</v>
      </c>
      <c r="Q176" s="10"/>
      <c r="R176" s="10" t="s">
        <v>73</v>
      </c>
      <c r="S176" s="10" t="s">
        <v>73</v>
      </c>
      <c r="T176" s="10" t="s">
        <v>73</v>
      </c>
      <c r="U176" s="10" t="s">
        <v>75</v>
      </c>
      <c r="V176" s="10" t="s">
        <v>202</v>
      </c>
      <c r="W176" s="10" t="s">
        <v>714</v>
      </c>
      <c r="X176" s="10"/>
      <c r="Y176" s="10" t="s">
        <v>73</v>
      </c>
      <c r="Z176" s="10"/>
      <c r="AA176" s="10" t="s">
        <v>73</v>
      </c>
      <c r="AB176" s="12"/>
      <c r="AC176" s="10" t="s">
        <v>77</v>
      </c>
      <c r="AD176" s="10" t="s">
        <v>78</v>
      </c>
      <c r="AE176" s="13" t="s">
        <v>138</v>
      </c>
      <c r="AF176" s="6"/>
      <c r="AG176" s="10" t="s">
        <v>77</v>
      </c>
      <c r="AH176" s="10" t="s">
        <v>82</v>
      </c>
      <c r="AI176" s="10"/>
      <c r="AJ176" s="10"/>
      <c r="AK176" s="10"/>
      <c r="AL176" s="10"/>
      <c r="AM176" s="10"/>
      <c r="AN176" s="42"/>
      <c r="AO176" s="42"/>
      <c r="AP176" s="42"/>
      <c r="AQ176" s="42"/>
      <c r="AR176" s="42"/>
      <c r="AS176" s="42"/>
      <c r="AT176" s="42"/>
      <c r="AU176" s="42"/>
      <c r="AV176" s="42"/>
      <c r="AW176" s="42"/>
      <c r="AX176" s="42"/>
      <c r="AY176" s="42"/>
      <c r="AZ176" s="42"/>
      <c r="BA176" s="42"/>
      <c r="BB176" s="42"/>
      <c r="BC176" s="42"/>
      <c r="BD176" s="42"/>
      <c r="BE176" s="42"/>
      <c r="BF176" s="14">
        <v>44977.0</v>
      </c>
      <c r="BG176" s="7" t="s">
        <v>75</v>
      </c>
      <c r="BH176" s="7" t="s">
        <v>190</v>
      </c>
      <c r="BI176" s="15">
        <f t="shared" si="1"/>
        <v>45</v>
      </c>
      <c r="BJ176" s="15" t="str">
        <f t="shared" si="3"/>
        <v>35-55</v>
      </c>
      <c r="BK176" s="15"/>
      <c r="BL176" s="7"/>
      <c r="BM176" s="7"/>
      <c r="BN176" s="10"/>
    </row>
    <row r="177" ht="15.75" customHeight="1">
      <c r="A177" s="1">
        <v>192.0</v>
      </c>
      <c r="B177" s="2">
        <v>192.0</v>
      </c>
      <c r="C177" s="9">
        <v>44987.042930428244</v>
      </c>
      <c r="D177" s="10" t="s">
        <v>715</v>
      </c>
      <c r="E177" s="11">
        <v>28240.0</v>
      </c>
      <c r="F177" s="10" t="s">
        <v>106</v>
      </c>
      <c r="G177" s="10" t="s">
        <v>716</v>
      </c>
      <c r="H177" s="10">
        <v>1.159575354E9</v>
      </c>
      <c r="I177" s="10" t="s">
        <v>92</v>
      </c>
      <c r="J177" s="10" t="s">
        <v>85</v>
      </c>
      <c r="K177" s="10" t="s">
        <v>71</v>
      </c>
      <c r="L177" s="10">
        <v>74.0</v>
      </c>
      <c r="M177" s="10" t="s">
        <v>126</v>
      </c>
      <c r="N177" s="10" t="s">
        <v>73</v>
      </c>
      <c r="O177" s="10"/>
      <c r="P177" s="10" t="s">
        <v>74</v>
      </c>
      <c r="Q177" s="10"/>
      <c r="R177" s="10" t="s">
        <v>73</v>
      </c>
      <c r="S177" s="10" t="s">
        <v>73</v>
      </c>
      <c r="T177" s="10" t="s">
        <v>73</v>
      </c>
      <c r="U177" s="10" t="s">
        <v>73</v>
      </c>
      <c r="V177" s="10"/>
      <c r="W177" s="10"/>
      <c r="X177" s="10"/>
      <c r="Y177" s="10" t="s">
        <v>73</v>
      </c>
      <c r="Z177" s="10"/>
      <c r="AA177" s="10" t="s">
        <v>73</v>
      </c>
      <c r="AB177" s="12"/>
      <c r="AC177" s="10" t="s">
        <v>77</v>
      </c>
      <c r="AD177" s="10" t="s">
        <v>78</v>
      </c>
      <c r="AE177" s="13" t="s">
        <v>138</v>
      </c>
      <c r="AF177" s="6" t="s">
        <v>187</v>
      </c>
      <c r="AG177" s="10" t="s">
        <v>77</v>
      </c>
      <c r="AH177" s="10" t="s">
        <v>82</v>
      </c>
      <c r="AI177" s="10"/>
      <c r="AJ177" s="10"/>
      <c r="AK177" s="10"/>
      <c r="AL177" s="10"/>
      <c r="AM177" s="10"/>
      <c r="AN177" s="42"/>
      <c r="AO177" s="42"/>
      <c r="AP177" s="42"/>
      <c r="AQ177" s="42"/>
      <c r="AR177" s="42"/>
      <c r="AS177" s="42"/>
      <c r="AT177" s="42"/>
      <c r="AU177" s="42"/>
      <c r="AV177" s="42"/>
      <c r="AW177" s="42"/>
      <c r="AX177" s="42"/>
      <c r="AY177" s="42"/>
      <c r="AZ177" s="42"/>
      <c r="BA177" s="42"/>
      <c r="BB177" s="42"/>
      <c r="BC177" s="42"/>
      <c r="BD177" s="42"/>
      <c r="BE177" s="42"/>
      <c r="BF177" s="14">
        <v>44977.0</v>
      </c>
      <c r="BG177" s="7" t="s">
        <v>75</v>
      </c>
      <c r="BH177" s="7" t="s">
        <v>190</v>
      </c>
      <c r="BI177" s="15">
        <f t="shared" si="1"/>
        <v>46</v>
      </c>
      <c r="BJ177" s="15" t="str">
        <f t="shared" si="3"/>
        <v>35-55</v>
      </c>
      <c r="BK177" s="15" t="s">
        <v>75</v>
      </c>
      <c r="BL177" s="15" t="s">
        <v>75</v>
      </c>
      <c r="BM177" s="60"/>
      <c r="BN177" s="15" t="s">
        <v>75</v>
      </c>
    </row>
    <row r="178" ht="15.75" customHeight="1">
      <c r="A178" s="1">
        <v>194.0</v>
      </c>
      <c r="B178" s="2">
        <v>194.0</v>
      </c>
      <c r="C178" s="9">
        <v>44987.30379466435</v>
      </c>
      <c r="D178" s="10" t="s">
        <v>717</v>
      </c>
      <c r="E178" s="11">
        <v>27379.0</v>
      </c>
      <c r="F178" s="10" t="s">
        <v>106</v>
      </c>
      <c r="G178" s="10" t="s">
        <v>718</v>
      </c>
      <c r="H178" s="10">
        <v>1.127328191E9</v>
      </c>
      <c r="I178" s="10" t="s">
        <v>422</v>
      </c>
      <c r="J178" s="10" t="s">
        <v>85</v>
      </c>
      <c r="K178" s="10" t="s">
        <v>86</v>
      </c>
      <c r="L178" s="10">
        <v>79.0</v>
      </c>
      <c r="M178" s="10">
        <v>1.75</v>
      </c>
      <c r="N178" s="10" t="s">
        <v>73</v>
      </c>
      <c r="O178" s="10"/>
      <c r="P178" s="10" t="s">
        <v>74</v>
      </c>
      <c r="Q178" s="10" t="s">
        <v>719</v>
      </c>
      <c r="R178" s="10" t="s">
        <v>73</v>
      </c>
      <c r="S178" s="10" t="s">
        <v>73</v>
      </c>
      <c r="T178" s="10" t="s">
        <v>73</v>
      </c>
      <c r="U178" s="10" t="s">
        <v>73</v>
      </c>
      <c r="V178" s="10"/>
      <c r="W178" s="10"/>
      <c r="X178" s="10"/>
      <c r="Y178" s="10" t="s">
        <v>73</v>
      </c>
      <c r="Z178" s="10"/>
      <c r="AA178" s="10" t="s">
        <v>73</v>
      </c>
      <c r="AB178" s="12"/>
      <c r="AC178" s="10" t="s">
        <v>77</v>
      </c>
      <c r="AD178" s="10" t="s">
        <v>78</v>
      </c>
      <c r="AE178" s="13" t="s">
        <v>138</v>
      </c>
      <c r="AF178" s="6" t="s">
        <v>187</v>
      </c>
      <c r="AG178" s="10" t="s">
        <v>77</v>
      </c>
      <c r="AH178" s="10" t="s">
        <v>82</v>
      </c>
      <c r="AI178" s="10"/>
      <c r="AJ178" s="10"/>
      <c r="AK178" s="10"/>
      <c r="AL178" s="10"/>
      <c r="AM178" s="10"/>
      <c r="AN178" s="42"/>
      <c r="AO178" s="42"/>
      <c r="AP178" s="42"/>
      <c r="AQ178" s="42"/>
      <c r="AR178" s="42"/>
      <c r="AS178" s="42"/>
      <c r="AT178" s="42"/>
      <c r="AU178" s="42"/>
      <c r="AV178" s="42"/>
      <c r="AW178" s="42"/>
      <c r="AX178" s="42"/>
      <c r="AY178" s="42"/>
      <c r="AZ178" s="42"/>
      <c r="BA178" s="42"/>
      <c r="BB178" s="42"/>
      <c r="BC178" s="42"/>
      <c r="BD178" s="42"/>
      <c r="BE178" s="42"/>
      <c r="BF178" s="14">
        <v>44977.0</v>
      </c>
      <c r="BG178" s="7" t="s">
        <v>75</v>
      </c>
      <c r="BH178" s="7" t="s">
        <v>190</v>
      </c>
      <c r="BI178" s="15">
        <f t="shared" si="1"/>
        <v>49</v>
      </c>
      <c r="BJ178" s="15" t="str">
        <f t="shared" si="3"/>
        <v>35-55</v>
      </c>
      <c r="BK178" s="15" t="s">
        <v>75</v>
      </c>
      <c r="BL178" s="15" t="s">
        <v>75</v>
      </c>
      <c r="BM178" s="60"/>
      <c r="BN178" s="15" t="s">
        <v>75</v>
      </c>
    </row>
    <row r="179" ht="15.75" customHeight="1">
      <c r="A179" s="1">
        <v>195.0</v>
      </c>
      <c r="B179" s="2">
        <v>195.0</v>
      </c>
      <c r="C179" s="17">
        <v>44987.38361481481</v>
      </c>
      <c r="D179" s="18" t="s">
        <v>720</v>
      </c>
      <c r="E179" s="19">
        <v>30058.0</v>
      </c>
      <c r="F179" s="18" t="s">
        <v>106</v>
      </c>
      <c r="G179" s="18" t="s">
        <v>721</v>
      </c>
      <c r="H179" s="18">
        <v>1.144729996E9</v>
      </c>
      <c r="I179" s="18" t="s">
        <v>449</v>
      </c>
      <c r="J179" s="18" t="s">
        <v>85</v>
      </c>
      <c r="K179" s="18" t="s">
        <v>134</v>
      </c>
      <c r="L179" s="18">
        <v>84.0</v>
      </c>
      <c r="M179" s="18" t="s">
        <v>325</v>
      </c>
      <c r="N179" s="18" t="s">
        <v>73</v>
      </c>
      <c r="O179" s="18"/>
      <c r="P179" s="18" t="s">
        <v>74</v>
      </c>
      <c r="Q179" s="18"/>
      <c r="R179" s="18" t="s">
        <v>73</v>
      </c>
      <c r="S179" s="18" t="s">
        <v>73</v>
      </c>
      <c r="T179" s="18" t="s">
        <v>73</v>
      </c>
      <c r="U179" s="18" t="s">
        <v>75</v>
      </c>
      <c r="V179" s="18" t="s">
        <v>722</v>
      </c>
      <c r="W179" s="18" t="s">
        <v>723</v>
      </c>
      <c r="X179" s="18"/>
      <c r="Y179" s="18"/>
      <c r="Z179" s="18"/>
      <c r="AA179" s="18"/>
      <c r="AB179" s="20"/>
      <c r="AC179" s="18"/>
      <c r="AD179" s="18"/>
      <c r="AE179" s="18"/>
      <c r="AF179" s="6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4">
        <v>45657.0</v>
      </c>
      <c r="BG179" s="7" t="s">
        <v>73</v>
      </c>
      <c r="BH179" s="7"/>
      <c r="BI179" s="15">
        <f t="shared" si="1"/>
        <v>42</v>
      </c>
      <c r="BJ179" s="15" t="str">
        <f t="shared" si="3"/>
        <v>35-55</v>
      </c>
      <c r="BK179" s="15"/>
      <c r="BL179" s="7"/>
      <c r="BM179" s="7"/>
      <c r="BN179" s="18"/>
    </row>
    <row r="180" ht="15.75" customHeight="1">
      <c r="A180" s="1">
        <v>196.0</v>
      </c>
      <c r="B180" s="2">
        <v>196.0</v>
      </c>
      <c r="C180" s="28">
        <v>44989.982040613424</v>
      </c>
      <c r="D180" s="29" t="s">
        <v>724</v>
      </c>
      <c r="E180" s="30">
        <v>37430.0</v>
      </c>
      <c r="F180" s="29" t="s">
        <v>67</v>
      </c>
      <c r="G180" s="29" t="s">
        <v>725</v>
      </c>
      <c r="H180" s="29">
        <v>1.149808948E9</v>
      </c>
      <c r="I180" s="29" t="s">
        <v>92</v>
      </c>
      <c r="J180" s="29" t="s">
        <v>85</v>
      </c>
      <c r="K180" s="29" t="s">
        <v>86</v>
      </c>
      <c r="L180" s="29">
        <v>50.0</v>
      </c>
      <c r="M180" s="29">
        <v>1.6</v>
      </c>
      <c r="N180" s="29" t="s">
        <v>73</v>
      </c>
      <c r="O180" s="29"/>
      <c r="P180" s="29" t="s">
        <v>178</v>
      </c>
      <c r="Q180" s="29"/>
      <c r="R180" s="29" t="s">
        <v>73</v>
      </c>
      <c r="S180" s="29" t="s">
        <v>73</v>
      </c>
      <c r="T180" s="29" t="s">
        <v>73</v>
      </c>
      <c r="U180" s="29" t="s">
        <v>75</v>
      </c>
      <c r="V180" s="29" t="s">
        <v>726</v>
      </c>
      <c r="W180" s="29" t="s">
        <v>727</v>
      </c>
      <c r="X180" s="29"/>
      <c r="Y180" s="29"/>
      <c r="Z180" s="29"/>
      <c r="AA180" s="29"/>
      <c r="AB180" s="31"/>
      <c r="AC180" s="29"/>
      <c r="AD180" s="29"/>
      <c r="AE180" s="29"/>
      <c r="AF180" s="6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14">
        <v>45657.0</v>
      </c>
      <c r="BG180" s="7" t="s">
        <v>73</v>
      </c>
      <c r="BH180" s="7"/>
      <c r="BI180" s="15">
        <f t="shared" si="1"/>
        <v>22</v>
      </c>
      <c r="BJ180" s="15" t="str">
        <f t="shared" si="3"/>
        <v>18-35</v>
      </c>
      <c r="BK180" s="15"/>
      <c r="BL180" s="7"/>
      <c r="BM180" s="7"/>
      <c r="BN180" s="29"/>
    </row>
    <row r="181" ht="15.75" customHeight="1">
      <c r="A181" s="1">
        <v>197.0</v>
      </c>
      <c r="B181" s="2">
        <v>197.0</v>
      </c>
      <c r="C181" s="9">
        <v>44992.797815682876</v>
      </c>
      <c r="D181" s="10" t="s">
        <v>728</v>
      </c>
      <c r="E181" s="11">
        <v>24536.0</v>
      </c>
      <c r="F181" s="10" t="s">
        <v>67</v>
      </c>
      <c r="G181" s="10" t="s">
        <v>729</v>
      </c>
      <c r="H181" s="10">
        <v>1.55791002E8</v>
      </c>
      <c r="I181" s="10" t="s">
        <v>422</v>
      </c>
      <c r="J181" s="10" t="s">
        <v>109</v>
      </c>
      <c r="K181" s="10" t="s">
        <v>134</v>
      </c>
      <c r="L181" s="10">
        <v>68.0</v>
      </c>
      <c r="M181" s="10" t="s">
        <v>93</v>
      </c>
      <c r="N181" s="10" t="s">
        <v>75</v>
      </c>
      <c r="O181" s="10" t="s">
        <v>730</v>
      </c>
      <c r="P181" s="10" t="s">
        <v>74</v>
      </c>
      <c r="Q181" s="10" t="s">
        <v>731</v>
      </c>
      <c r="R181" s="10" t="s">
        <v>73</v>
      </c>
      <c r="S181" s="10" t="s">
        <v>73</v>
      </c>
      <c r="T181" s="10" t="s">
        <v>73</v>
      </c>
      <c r="U181" s="10" t="s">
        <v>75</v>
      </c>
      <c r="V181" s="10" t="s">
        <v>732</v>
      </c>
      <c r="W181" s="10" t="s">
        <v>733</v>
      </c>
      <c r="X181" s="10"/>
      <c r="Y181" s="10" t="s">
        <v>73</v>
      </c>
      <c r="Z181" s="10"/>
      <c r="AA181" s="10" t="s">
        <v>75</v>
      </c>
      <c r="AB181" s="12" t="s">
        <v>76</v>
      </c>
      <c r="AC181" s="10" t="s">
        <v>95</v>
      </c>
      <c r="AD181" s="10" t="s">
        <v>94</v>
      </c>
      <c r="AE181" s="13" t="s">
        <v>131</v>
      </c>
      <c r="AF181" s="6"/>
      <c r="AG181" s="10" t="s">
        <v>81</v>
      </c>
      <c r="AH181" s="10" t="s">
        <v>96</v>
      </c>
      <c r="AI181" s="10" t="s">
        <v>734</v>
      </c>
      <c r="AJ181" s="10"/>
      <c r="AK181" s="10"/>
      <c r="AL181" s="10"/>
      <c r="AM181" s="10"/>
      <c r="AN181" s="42"/>
      <c r="AO181" s="42"/>
      <c r="AP181" s="42"/>
      <c r="AQ181" s="42"/>
      <c r="AR181" s="42"/>
      <c r="AS181" s="42"/>
      <c r="AT181" s="42"/>
      <c r="AU181" s="42"/>
      <c r="AV181" s="42"/>
      <c r="AW181" s="42"/>
      <c r="AX181" s="42"/>
      <c r="AY181" s="42"/>
      <c r="AZ181" s="42"/>
      <c r="BA181" s="42"/>
      <c r="BB181" s="42"/>
      <c r="BC181" s="42"/>
      <c r="BD181" s="42"/>
      <c r="BE181" s="42"/>
      <c r="BF181" s="14">
        <v>44977.0</v>
      </c>
      <c r="BG181" s="7" t="s">
        <v>75</v>
      </c>
      <c r="BH181" s="7" t="s">
        <v>104</v>
      </c>
      <c r="BI181" s="15">
        <f t="shared" si="1"/>
        <v>56</v>
      </c>
      <c r="BJ181" s="15" t="str">
        <f t="shared" si="3"/>
        <v>&gt;55</v>
      </c>
      <c r="BK181" s="15" t="s">
        <v>75</v>
      </c>
      <c r="BL181" s="15" t="s">
        <v>75</v>
      </c>
      <c r="BM181" s="60"/>
      <c r="BN181" s="15" t="s">
        <v>75</v>
      </c>
    </row>
    <row r="182" ht="15.75" customHeight="1">
      <c r="A182" s="1">
        <v>198.0</v>
      </c>
      <c r="B182" s="2">
        <v>198.0</v>
      </c>
      <c r="C182" s="28">
        <v>44993.775442881946</v>
      </c>
      <c r="D182" s="29" t="s">
        <v>735</v>
      </c>
      <c r="E182" s="30">
        <v>37242.0</v>
      </c>
      <c r="F182" s="29" t="s">
        <v>67</v>
      </c>
      <c r="G182" s="29" t="s">
        <v>736</v>
      </c>
      <c r="H182" s="29">
        <v>5.41136673027E11</v>
      </c>
      <c r="I182" s="29" t="s">
        <v>449</v>
      </c>
      <c r="J182" s="29" t="s">
        <v>85</v>
      </c>
      <c r="K182" s="29" t="s">
        <v>86</v>
      </c>
      <c r="L182" s="29">
        <v>56.0</v>
      </c>
      <c r="M182" s="29" t="s">
        <v>341</v>
      </c>
      <c r="N182" s="29" t="s">
        <v>73</v>
      </c>
      <c r="O182" s="29"/>
      <c r="P182" s="29" t="s">
        <v>178</v>
      </c>
      <c r="Q182" s="29"/>
      <c r="R182" s="29" t="s">
        <v>73</v>
      </c>
      <c r="S182" s="29" t="s">
        <v>73</v>
      </c>
      <c r="T182" s="29" t="s">
        <v>73</v>
      </c>
      <c r="U182" s="29" t="s">
        <v>73</v>
      </c>
      <c r="V182" s="29"/>
      <c r="W182" s="29"/>
      <c r="X182" s="29"/>
      <c r="Y182" s="29"/>
      <c r="Z182" s="29"/>
      <c r="AA182" s="29"/>
      <c r="AB182" s="31"/>
      <c r="AC182" s="29"/>
      <c r="AD182" s="29"/>
      <c r="AE182" s="29"/>
      <c r="AF182" s="6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14">
        <v>45657.0</v>
      </c>
      <c r="BG182" s="7" t="s">
        <v>73</v>
      </c>
      <c r="BH182" s="7"/>
      <c r="BI182" s="15">
        <f t="shared" si="1"/>
        <v>23</v>
      </c>
      <c r="BJ182" s="15" t="str">
        <f t="shared" si="3"/>
        <v>18-35</v>
      </c>
      <c r="BK182" s="15"/>
      <c r="BL182" s="7"/>
      <c r="BM182" s="7"/>
      <c r="BN182" s="29"/>
    </row>
    <row r="183" ht="15.75" customHeight="1">
      <c r="A183" s="1">
        <v>199.0</v>
      </c>
      <c r="B183" s="2">
        <v>199.0</v>
      </c>
      <c r="C183" s="17">
        <v>44997.886279432874</v>
      </c>
      <c r="D183" s="18" t="s">
        <v>737</v>
      </c>
      <c r="E183" s="19">
        <v>28955.0</v>
      </c>
      <c r="F183" s="18" t="s">
        <v>67</v>
      </c>
      <c r="G183" s="18" t="s">
        <v>738</v>
      </c>
      <c r="H183" s="18">
        <v>1.169608754E9</v>
      </c>
      <c r="I183" s="18" t="s">
        <v>92</v>
      </c>
      <c r="J183" s="18" t="s">
        <v>85</v>
      </c>
      <c r="K183" s="18" t="s">
        <v>134</v>
      </c>
      <c r="L183" s="18">
        <v>80.0</v>
      </c>
      <c r="M183" s="18" t="s">
        <v>72</v>
      </c>
      <c r="N183" s="18" t="s">
        <v>75</v>
      </c>
      <c r="O183" s="18" t="s">
        <v>616</v>
      </c>
      <c r="P183" s="18" t="s">
        <v>74</v>
      </c>
      <c r="Q183" s="18" t="s">
        <v>739</v>
      </c>
      <c r="R183" s="18" t="s">
        <v>73</v>
      </c>
      <c r="S183" s="18" t="s">
        <v>73</v>
      </c>
      <c r="T183" s="18" t="s">
        <v>73</v>
      </c>
      <c r="U183" s="18" t="s">
        <v>75</v>
      </c>
      <c r="V183" s="18" t="s">
        <v>740</v>
      </c>
      <c r="W183" s="18"/>
      <c r="X183" s="18"/>
      <c r="Y183" s="18"/>
      <c r="Z183" s="18"/>
      <c r="AA183" s="18"/>
      <c r="AB183" s="20"/>
      <c r="AC183" s="18"/>
      <c r="AD183" s="18"/>
      <c r="AE183" s="18"/>
      <c r="AF183" s="6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4">
        <v>45657.0</v>
      </c>
      <c r="BG183" s="7" t="s">
        <v>73</v>
      </c>
      <c r="BH183" s="7"/>
      <c r="BI183" s="15">
        <f t="shared" si="1"/>
        <v>45</v>
      </c>
      <c r="BJ183" s="15" t="str">
        <f t="shared" si="3"/>
        <v>35-55</v>
      </c>
      <c r="BK183" s="15"/>
      <c r="BL183" s="7"/>
      <c r="BM183" s="7"/>
      <c r="BN183" s="18"/>
    </row>
    <row r="184" ht="15.75" customHeight="1">
      <c r="A184" s="1">
        <v>200.0</v>
      </c>
      <c r="B184" s="2">
        <v>200.0</v>
      </c>
      <c r="C184" s="17">
        <v>45001.57056574074</v>
      </c>
      <c r="D184" s="18" t="s">
        <v>741</v>
      </c>
      <c r="E184" s="19">
        <v>36978.0</v>
      </c>
      <c r="F184" s="18" t="s">
        <v>67</v>
      </c>
      <c r="G184" s="18" t="s">
        <v>742</v>
      </c>
      <c r="H184" s="18">
        <v>5.492944388334E12</v>
      </c>
      <c r="I184" s="18" t="s">
        <v>92</v>
      </c>
      <c r="J184" s="18" t="s">
        <v>85</v>
      </c>
      <c r="K184" s="18" t="s">
        <v>134</v>
      </c>
      <c r="L184" s="18">
        <v>56.0</v>
      </c>
      <c r="M184" s="18">
        <v>1.62</v>
      </c>
      <c r="N184" s="18" t="s">
        <v>73</v>
      </c>
      <c r="O184" s="18"/>
      <c r="P184" s="18" t="s">
        <v>74</v>
      </c>
      <c r="Q184" s="18"/>
      <c r="R184" s="18" t="s">
        <v>73</v>
      </c>
      <c r="S184" s="18" t="s">
        <v>73</v>
      </c>
      <c r="T184" s="18" t="s">
        <v>73</v>
      </c>
      <c r="U184" s="18" t="s">
        <v>73</v>
      </c>
      <c r="V184" s="18"/>
      <c r="W184" s="18"/>
      <c r="X184" s="18"/>
      <c r="Y184" s="18"/>
      <c r="Z184" s="18"/>
      <c r="AA184" s="18"/>
      <c r="AB184" s="20"/>
      <c r="AC184" s="18"/>
      <c r="AD184" s="18"/>
      <c r="AE184" s="18"/>
      <c r="AF184" s="6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4">
        <v>45657.0</v>
      </c>
      <c r="BG184" s="7" t="s">
        <v>73</v>
      </c>
      <c r="BH184" s="7"/>
      <c r="BI184" s="15">
        <f t="shared" si="1"/>
        <v>23</v>
      </c>
      <c r="BJ184" s="15" t="str">
        <f t="shared" si="3"/>
        <v>18-35</v>
      </c>
      <c r="BK184" s="15"/>
      <c r="BL184" s="7"/>
      <c r="BM184" s="7"/>
      <c r="BN184" s="18"/>
    </row>
    <row r="185" ht="15.75" customHeight="1">
      <c r="A185" s="1">
        <v>201.0</v>
      </c>
      <c r="B185" s="2">
        <v>201.0</v>
      </c>
      <c r="C185" s="37">
        <v>45002.602110486114</v>
      </c>
      <c r="D185" s="38" t="s">
        <v>743</v>
      </c>
      <c r="E185" s="39">
        <v>32594.0</v>
      </c>
      <c r="F185" s="38" t="s">
        <v>67</v>
      </c>
      <c r="G185" s="38" t="s">
        <v>744</v>
      </c>
      <c r="H185" s="38">
        <v>1.169592576E9</v>
      </c>
      <c r="I185" s="38" t="s">
        <v>92</v>
      </c>
      <c r="J185" s="38" t="s">
        <v>85</v>
      </c>
      <c r="K185" s="38" t="s">
        <v>86</v>
      </c>
      <c r="L185" s="38">
        <v>54.0</v>
      </c>
      <c r="M185" s="38" t="s">
        <v>147</v>
      </c>
      <c r="N185" s="38" t="s">
        <v>75</v>
      </c>
      <c r="O185" s="38" t="s">
        <v>745</v>
      </c>
      <c r="P185" s="38" t="s">
        <v>210</v>
      </c>
      <c r="Q185" s="38" t="s">
        <v>745</v>
      </c>
      <c r="R185" s="38" t="s">
        <v>73</v>
      </c>
      <c r="S185" s="38" t="s">
        <v>73</v>
      </c>
      <c r="T185" s="38" t="s">
        <v>73</v>
      </c>
      <c r="U185" s="38" t="s">
        <v>75</v>
      </c>
      <c r="V185" s="38" t="s">
        <v>228</v>
      </c>
      <c r="W185" s="61" t="s">
        <v>746</v>
      </c>
      <c r="X185" s="38"/>
      <c r="Y185" s="38"/>
      <c r="Z185" s="38"/>
      <c r="AA185" s="38"/>
      <c r="AB185" s="40"/>
      <c r="AC185" s="38"/>
      <c r="AD185" s="38"/>
      <c r="AE185" s="38"/>
      <c r="AF185" s="6" t="s">
        <v>151</v>
      </c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U185" s="38"/>
      <c r="AV185" s="38"/>
      <c r="AW185" s="38"/>
      <c r="AX185" s="38"/>
      <c r="AY185" s="38"/>
      <c r="AZ185" s="38"/>
      <c r="BA185" s="38"/>
      <c r="BB185" s="38"/>
      <c r="BC185" s="38"/>
      <c r="BD185" s="38"/>
      <c r="BE185" s="38"/>
      <c r="BF185" s="14">
        <v>45657.0</v>
      </c>
      <c r="BG185" s="7" t="s">
        <v>73</v>
      </c>
      <c r="BH185" s="7"/>
      <c r="BI185" s="15">
        <f t="shared" si="1"/>
        <v>35</v>
      </c>
      <c r="BJ185" s="15" t="str">
        <f t="shared" si="3"/>
        <v>18-35</v>
      </c>
      <c r="BK185" s="15"/>
      <c r="BL185" s="7"/>
      <c r="BM185" s="7"/>
      <c r="BN185" s="38" t="s">
        <v>151</v>
      </c>
    </row>
    <row r="186" ht="15.75" customHeight="1">
      <c r="A186" s="1">
        <v>202.0</v>
      </c>
      <c r="B186" s="2">
        <v>202.0</v>
      </c>
      <c r="C186" s="37">
        <v>45007.52301134259</v>
      </c>
      <c r="D186" s="38" t="s">
        <v>747</v>
      </c>
      <c r="E186" s="39">
        <v>30281.0</v>
      </c>
      <c r="F186" s="38" t="s">
        <v>67</v>
      </c>
      <c r="G186" s="38" t="s">
        <v>748</v>
      </c>
      <c r="H186" s="38">
        <v>4.523114E7</v>
      </c>
      <c r="I186" s="38" t="s">
        <v>449</v>
      </c>
      <c r="J186" s="38" t="s">
        <v>85</v>
      </c>
      <c r="K186" s="38" t="s">
        <v>166</v>
      </c>
      <c r="L186" s="38">
        <v>75.0</v>
      </c>
      <c r="M186" s="38" t="s">
        <v>241</v>
      </c>
      <c r="N186" s="38" t="s">
        <v>73</v>
      </c>
      <c r="O186" s="38"/>
      <c r="P186" s="38" t="s">
        <v>210</v>
      </c>
      <c r="Q186" s="38" t="s">
        <v>749</v>
      </c>
      <c r="R186" s="38" t="s">
        <v>73</v>
      </c>
      <c r="S186" s="38" t="s">
        <v>73</v>
      </c>
      <c r="T186" s="38" t="s">
        <v>73</v>
      </c>
      <c r="U186" s="38" t="s">
        <v>73</v>
      </c>
      <c r="V186" s="38"/>
      <c r="W186" s="38"/>
      <c r="X186" s="38"/>
      <c r="Y186" s="38"/>
      <c r="Z186" s="38"/>
      <c r="AA186" s="38"/>
      <c r="AB186" s="40"/>
      <c r="AC186" s="38"/>
      <c r="AD186" s="38"/>
      <c r="AE186" s="38"/>
      <c r="AF186" s="6" t="s">
        <v>80</v>
      </c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  <c r="AS186" s="38"/>
      <c r="AT186" s="38"/>
      <c r="AU186" s="38"/>
      <c r="AV186" s="38"/>
      <c r="AW186" s="38"/>
      <c r="AX186" s="38"/>
      <c r="AY186" s="38"/>
      <c r="AZ186" s="38"/>
      <c r="BA186" s="38"/>
      <c r="BB186" s="38"/>
      <c r="BC186" s="38"/>
      <c r="BD186" s="38"/>
      <c r="BE186" s="38"/>
      <c r="BF186" s="14">
        <v>45657.0</v>
      </c>
      <c r="BG186" s="7" t="s">
        <v>73</v>
      </c>
      <c r="BH186" s="7"/>
      <c r="BI186" s="15">
        <f t="shared" si="1"/>
        <v>42</v>
      </c>
      <c r="BJ186" s="15" t="str">
        <f t="shared" si="3"/>
        <v>35-55</v>
      </c>
      <c r="BK186" s="15"/>
      <c r="BL186" s="7"/>
      <c r="BM186" s="7"/>
      <c r="BN186" s="38" t="s">
        <v>80</v>
      </c>
    </row>
    <row r="187" ht="15.75" customHeight="1">
      <c r="A187" s="1">
        <v>203.0</v>
      </c>
      <c r="B187" s="2">
        <v>203.0</v>
      </c>
      <c r="C187" s="17">
        <v>45007.5246554051</v>
      </c>
      <c r="D187" s="18" t="s">
        <v>750</v>
      </c>
      <c r="E187" s="19">
        <v>28728.0</v>
      </c>
      <c r="F187" s="18" t="s">
        <v>67</v>
      </c>
      <c r="G187" s="18" t="s">
        <v>751</v>
      </c>
      <c r="H187" s="18">
        <v>1.15922336E9</v>
      </c>
      <c r="I187" s="18" t="s">
        <v>92</v>
      </c>
      <c r="J187" s="18" t="s">
        <v>85</v>
      </c>
      <c r="K187" s="18" t="s">
        <v>86</v>
      </c>
      <c r="L187" s="18">
        <v>69.5</v>
      </c>
      <c r="M187" s="18" t="s">
        <v>163</v>
      </c>
      <c r="N187" s="18" t="s">
        <v>73</v>
      </c>
      <c r="O187" s="18"/>
      <c r="P187" s="18" t="s">
        <v>74</v>
      </c>
      <c r="Q187" s="18"/>
      <c r="R187" s="18" t="s">
        <v>73</v>
      </c>
      <c r="S187" s="18" t="s">
        <v>73</v>
      </c>
      <c r="T187" s="18" t="s">
        <v>73</v>
      </c>
      <c r="U187" s="18" t="s">
        <v>75</v>
      </c>
      <c r="V187" s="18" t="s">
        <v>752</v>
      </c>
      <c r="W187" s="18" t="s">
        <v>753</v>
      </c>
      <c r="X187" s="18"/>
      <c r="Y187" s="18"/>
      <c r="Z187" s="18"/>
      <c r="AA187" s="18"/>
      <c r="AB187" s="20"/>
      <c r="AC187" s="18"/>
      <c r="AD187" s="18"/>
      <c r="AE187" s="18"/>
      <c r="AF187" s="6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4">
        <v>45657.0</v>
      </c>
      <c r="BG187" s="7" t="s">
        <v>73</v>
      </c>
      <c r="BH187" s="7"/>
      <c r="BI187" s="15">
        <f t="shared" si="1"/>
        <v>46</v>
      </c>
      <c r="BJ187" s="15" t="str">
        <f t="shared" si="3"/>
        <v>35-55</v>
      </c>
      <c r="BK187" s="15"/>
      <c r="BL187" s="7"/>
      <c r="BM187" s="7"/>
      <c r="BN187" s="18"/>
    </row>
    <row r="188" ht="15.75" customHeight="1">
      <c r="A188" s="1">
        <v>204.0</v>
      </c>
      <c r="B188" s="2">
        <v>204.0</v>
      </c>
      <c r="C188" s="32">
        <v>45009.85008211806</v>
      </c>
      <c r="D188" s="33" t="s">
        <v>754</v>
      </c>
      <c r="E188" s="34">
        <v>36707.0</v>
      </c>
      <c r="F188" s="33" t="s">
        <v>67</v>
      </c>
      <c r="G188" s="33" t="s">
        <v>755</v>
      </c>
      <c r="H188" s="33">
        <v>1.136257196E9</v>
      </c>
      <c r="I188" s="33" t="s">
        <v>92</v>
      </c>
      <c r="J188" s="33" t="s">
        <v>85</v>
      </c>
      <c r="K188" s="33" t="s">
        <v>71</v>
      </c>
      <c r="L188" s="33">
        <v>49.0</v>
      </c>
      <c r="M188" s="33">
        <v>1.58</v>
      </c>
      <c r="N188" s="33" t="s">
        <v>73</v>
      </c>
      <c r="O188" s="33"/>
      <c r="P188" s="33" t="s">
        <v>329</v>
      </c>
      <c r="Q188" s="33"/>
      <c r="R188" s="33" t="s">
        <v>73</v>
      </c>
      <c r="S188" s="33" t="s">
        <v>75</v>
      </c>
      <c r="T188" s="33" t="s">
        <v>73</v>
      </c>
      <c r="U188" s="33" t="s">
        <v>75</v>
      </c>
      <c r="V188" s="33" t="s">
        <v>756</v>
      </c>
      <c r="W188" s="33" t="s">
        <v>757</v>
      </c>
      <c r="X188" s="33"/>
      <c r="Y188" s="33"/>
      <c r="Z188" s="33"/>
      <c r="AA188" s="33"/>
      <c r="AB188" s="35"/>
      <c r="AC188" s="33"/>
      <c r="AD188" s="33"/>
      <c r="AE188" s="33"/>
      <c r="AF188" s="6" t="s">
        <v>80</v>
      </c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14">
        <v>45657.0</v>
      </c>
      <c r="BG188" s="7" t="s">
        <v>73</v>
      </c>
      <c r="BH188" s="7"/>
      <c r="BI188" s="15">
        <f t="shared" si="1"/>
        <v>24</v>
      </c>
      <c r="BJ188" s="15" t="str">
        <f t="shared" si="3"/>
        <v>18-35</v>
      </c>
      <c r="BK188" s="15"/>
      <c r="BL188" s="7"/>
      <c r="BM188" s="7"/>
      <c r="BN188" s="33" t="s">
        <v>80</v>
      </c>
    </row>
    <row r="189" ht="15.75" customHeight="1">
      <c r="A189" s="1">
        <v>205.0</v>
      </c>
      <c r="B189" s="2">
        <v>205.0</v>
      </c>
      <c r="C189" s="52">
        <v>45013.55279241898</v>
      </c>
      <c r="D189" s="53" t="s">
        <v>758</v>
      </c>
      <c r="E189" s="54">
        <v>35227.0</v>
      </c>
      <c r="F189" s="53" t="s">
        <v>67</v>
      </c>
      <c r="G189" s="53" t="s">
        <v>759</v>
      </c>
      <c r="H189" s="53">
        <v>1.156600173E9</v>
      </c>
      <c r="I189" s="53" t="s">
        <v>92</v>
      </c>
      <c r="J189" s="53" t="s">
        <v>85</v>
      </c>
      <c r="K189" s="53" t="s">
        <v>86</v>
      </c>
      <c r="L189" s="53">
        <v>60.0</v>
      </c>
      <c r="M189" s="53">
        <v>1.65</v>
      </c>
      <c r="N189" s="53" t="s">
        <v>73</v>
      </c>
      <c r="O189" s="53"/>
      <c r="P189" s="53" t="s">
        <v>358</v>
      </c>
      <c r="Q189" s="53"/>
      <c r="R189" s="53" t="s">
        <v>73</v>
      </c>
      <c r="S189" s="53" t="s">
        <v>73</v>
      </c>
      <c r="T189" s="53" t="s">
        <v>73</v>
      </c>
      <c r="U189" s="53" t="s">
        <v>73</v>
      </c>
      <c r="V189" s="53"/>
      <c r="W189" s="53"/>
      <c r="X189" s="53"/>
      <c r="Y189" s="53"/>
      <c r="Z189" s="53"/>
      <c r="AA189" s="53"/>
      <c r="AB189" s="55"/>
      <c r="AC189" s="53"/>
      <c r="AD189" s="53"/>
      <c r="AE189" s="53"/>
      <c r="AF189" s="6" t="s">
        <v>151</v>
      </c>
      <c r="AG189" s="53"/>
      <c r="AH189" s="53"/>
      <c r="AI189" s="53"/>
      <c r="AJ189" s="53"/>
      <c r="AK189" s="53"/>
      <c r="AL189" s="53"/>
      <c r="AM189" s="53"/>
      <c r="AN189" s="38"/>
      <c r="AO189" s="38"/>
      <c r="AP189" s="38"/>
      <c r="AQ189" s="38"/>
      <c r="AR189" s="38"/>
      <c r="AS189" s="38"/>
      <c r="AT189" s="38"/>
      <c r="AU189" s="38"/>
      <c r="AV189" s="38"/>
      <c r="AW189" s="38"/>
      <c r="AX189" s="38"/>
      <c r="AY189" s="38"/>
      <c r="AZ189" s="38"/>
      <c r="BA189" s="38"/>
      <c r="BB189" s="38"/>
      <c r="BC189" s="38"/>
      <c r="BD189" s="38"/>
      <c r="BE189" s="38"/>
      <c r="BF189" s="14">
        <v>45657.0</v>
      </c>
      <c r="BG189" s="7" t="s">
        <v>73</v>
      </c>
      <c r="BH189" s="7"/>
      <c r="BI189" s="15">
        <f t="shared" si="1"/>
        <v>28</v>
      </c>
      <c r="BJ189" s="15" t="str">
        <f t="shared" si="3"/>
        <v>18-35</v>
      </c>
      <c r="BK189" s="15"/>
      <c r="BL189" s="7"/>
      <c r="BM189" s="7"/>
      <c r="BN189" s="53" t="s">
        <v>151</v>
      </c>
    </row>
    <row r="190" ht="15.75" customHeight="1">
      <c r="A190" s="1">
        <v>206.0</v>
      </c>
      <c r="B190" s="2">
        <v>206.0</v>
      </c>
      <c r="C190" s="28">
        <v>45014.57946547454</v>
      </c>
      <c r="D190" s="29" t="s">
        <v>760</v>
      </c>
      <c r="E190" s="30">
        <v>30895.0</v>
      </c>
      <c r="F190" s="29" t="s">
        <v>67</v>
      </c>
      <c r="G190" s="29" t="s">
        <v>761</v>
      </c>
      <c r="H190" s="29">
        <v>1.162604225E9</v>
      </c>
      <c r="I190" s="29" t="s">
        <v>92</v>
      </c>
      <c r="J190" s="29" t="s">
        <v>70</v>
      </c>
      <c r="K190" s="29" t="s">
        <v>71</v>
      </c>
      <c r="L190" s="29">
        <v>54.0</v>
      </c>
      <c r="M190" s="29" t="s">
        <v>241</v>
      </c>
      <c r="N190" s="29" t="s">
        <v>73</v>
      </c>
      <c r="O190" s="29"/>
      <c r="P190" s="29" t="s">
        <v>178</v>
      </c>
      <c r="Q190" s="29"/>
      <c r="R190" s="29" t="s">
        <v>73</v>
      </c>
      <c r="S190" s="29" t="s">
        <v>73</v>
      </c>
      <c r="T190" s="29" t="s">
        <v>73</v>
      </c>
      <c r="U190" s="29" t="s">
        <v>73</v>
      </c>
      <c r="V190" s="29"/>
      <c r="W190" s="29"/>
      <c r="X190" s="29"/>
      <c r="Y190" s="29"/>
      <c r="Z190" s="29"/>
      <c r="AA190" s="29"/>
      <c r="AB190" s="31"/>
      <c r="AC190" s="29"/>
      <c r="AD190" s="29"/>
      <c r="AE190" s="29"/>
      <c r="AF190" s="6" t="s">
        <v>80</v>
      </c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14">
        <v>45657.0</v>
      </c>
      <c r="BG190" s="7" t="s">
        <v>73</v>
      </c>
      <c r="BH190" s="7"/>
      <c r="BI190" s="15">
        <f t="shared" si="1"/>
        <v>40</v>
      </c>
      <c r="BJ190" s="15" t="str">
        <f t="shared" si="3"/>
        <v>35-55</v>
      </c>
      <c r="BK190" s="15"/>
      <c r="BL190" s="7"/>
      <c r="BM190" s="7"/>
      <c r="BN190" s="29" t="s">
        <v>80</v>
      </c>
    </row>
    <row r="191" ht="15.75" customHeight="1">
      <c r="A191" s="1">
        <v>207.0</v>
      </c>
      <c r="B191" s="2">
        <v>207.0</v>
      </c>
      <c r="C191" s="9">
        <v>45024.934361921296</v>
      </c>
      <c r="D191" s="10" t="s">
        <v>762</v>
      </c>
      <c r="E191" s="11">
        <v>35024.0</v>
      </c>
      <c r="F191" s="10" t="s">
        <v>67</v>
      </c>
      <c r="G191" s="10" t="s">
        <v>763</v>
      </c>
      <c r="H191" s="10">
        <v>1.569493336E9</v>
      </c>
      <c r="I191" s="10" t="s">
        <v>449</v>
      </c>
      <c r="J191" s="10" t="s">
        <v>85</v>
      </c>
      <c r="K191" s="10" t="s">
        <v>134</v>
      </c>
      <c r="L191" s="10">
        <v>59.0</v>
      </c>
      <c r="M191" s="10">
        <v>1.67</v>
      </c>
      <c r="N191" s="10" t="s">
        <v>73</v>
      </c>
      <c r="O191" s="10"/>
      <c r="P191" s="10" t="s">
        <v>74</v>
      </c>
      <c r="Q191" s="10"/>
      <c r="R191" s="10" t="s">
        <v>73</v>
      </c>
      <c r="S191" s="10" t="s">
        <v>73</v>
      </c>
      <c r="T191" s="10" t="s">
        <v>73</v>
      </c>
      <c r="U191" s="10" t="s">
        <v>73</v>
      </c>
      <c r="V191" s="10"/>
      <c r="W191" s="10"/>
      <c r="X191" s="10"/>
      <c r="Y191" s="10" t="s">
        <v>73</v>
      </c>
      <c r="Z191" s="10"/>
      <c r="AA191" s="10" t="s">
        <v>75</v>
      </c>
      <c r="AB191" s="12" t="s">
        <v>76</v>
      </c>
      <c r="AC191" s="10" t="s">
        <v>77</v>
      </c>
      <c r="AD191" s="10" t="s">
        <v>78</v>
      </c>
      <c r="AE191" s="13" t="s">
        <v>138</v>
      </c>
      <c r="AF191" s="6" t="s">
        <v>151</v>
      </c>
      <c r="AG191" s="10" t="s">
        <v>82</v>
      </c>
      <c r="AH191" s="10" t="s">
        <v>102</v>
      </c>
      <c r="AI191" s="10" t="s">
        <v>764</v>
      </c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4">
        <v>45229.0</v>
      </c>
      <c r="BG191" s="7" t="s">
        <v>75</v>
      </c>
      <c r="BH191" s="7" t="s">
        <v>190</v>
      </c>
      <c r="BI191" s="15">
        <f t="shared" si="1"/>
        <v>28</v>
      </c>
      <c r="BJ191" s="15" t="str">
        <f t="shared" si="3"/>
        <v>18-35</v>
      </c>
      <c r="BK191" s="15" t="s">
        <v>75</v>
      </c>
      <c r="BL191" s="15" t="s">
        <v>75</v>
      </c>
      <c r="BM191" s="18"/>
      <c r="BN191" s="10" t="s">
        <v>151</v>
      </c>
    </row>
    <row r="192" ht="15.75" customHeight="1">
      <c r="A192" s="1">
        <v>208.0</v>
      </c>
      <c r="B192" s="2">
        <v>208.0</v>
      </c>
      <c r="C192" s="48">
        <v>45029.49553809028</v>
      </c>
      <c r="D192" s="49" t="s">
        <v>765</v>
      </c>
      <c r="E192" s="50">
        <v>24349.0</v>
      </c>
      <c r="F192" s="49" t="s">
        <v>106</v>
      </c>
      <c r="G192" s="49" t="s">
        <v>766</v>
      </c>
      <c r="H192" s="49">
        <v>1.133916248E9</v>
      </c>
      <c r="I192" s="49" t="s">
        <v>449</v>
      </c>
      <c r="J192" s="49" t="s">
        <v>70</v>
      </c>
      <c r="K192" s="49" t="s">
        <v>86</v>
      </c>
      <c r="L192" s="49">
        <v>79.0</v>
      </c>
      <c r="M192" s="49" t="s">
        <v>260</v>
      </c>
      <c r="N192" s="49" t="s">
        <v>73</v>
      </c>
      <c r="O192" s="49"/>
      <c r="P192" s="49" t="s">
        <v>342</v>
      </c>
      <c r="Q192" s="49" t="s">
        <v>767</v>
      </c>
      <c r="R192" s="49" t="s">
        <v>73</v>
      </c>
      <c r="S192" s="49" t="s">
        <v>73</v>
      </c>
      <c r="T192" s="49" t="s">
        <v>73</v>
      </c>
      <c r="U192" s="49" t="s">
        <v>73</v>
      </c>
      <c r="V192" s="49"/>
      <c r="W192" s="49"/>
      <c r="X192" s="49"/>
      <c r="Y192" s="49"/>
      <c r="Z192" s="49"/>
      <c r="AA192" s="49"/>
      <c r="AB192" s="51"/>
      <c r="AC192" s="49"/>
      <c r="AD192" s="49"/>
      <c r="AE192" s="49"/>
      <c r="AF192" s="6" t="s">
        <v>80</v>
      </c>
      <c r="AG192" s="49"/>
      <c r="AH192" s="49"/>
      <c r="AI192" s="49"/>
      <c r="AJ192" s="49"/>
      <c r="AK192" s="49"/>
      <c r="AL192" s="49"/>
      <c r="AM192" s="49"/>
      <c r="AN192" s="38"/>
      <c r="AO192" s="38"/>
      <c r="AP192" s="38"/>
      <c r="AQ192" s="38"/>
      <c r="AR192" s="38"/>
      <c r="AS192" s="38"/>
      <c r="AT192" s="38"/>
      <c r="AU192" s="38"/>
      <c r="AV192" s="38"/>
      <c r="AW192" s="38"/>
      <c r="AX192" s="38"/>
      <c r="AY192" s="38"/>
      <c r="AZ192" s="38"/>
      <c r="BA192" s="38"/>
      <c r="BB192" s="38"/>
      <c r="BC192" s="38"/>
      <c r="BD192" s="38"/>
      <c r="BE192" s="38"/>
      <c r="BF192" s="14">
        <v>45657.0</v>
      </c>
      <c r="BG192" s="7" t="s">
        <v>73</v>
      </c>
      <c r="BH192" s="7"/>
      <c r="BI192" s="15">
        <f t="shared" si="1"/>
        <v>58</v>
      </c>
      <c r="BJ192" s="15" t="str">
        <f t="shared" si="3"/>
        <v>&gt;55</v>
      </c>
      <c r="BK192" s="15"/>
      <c r="BL192" s="7"/>
      <c r="BM192" s="7"/>
      <c r="BN192" s="49" t="s">
        <v>80</v>
      </c>
    </row>
    <row r="193" ht="15.75" customHeight="1">
      <c r="A193" s="1">
        <v>209.0</v>
      </c>
      <c r="B193" s="2">
        <v>209.0</v>
      </c>
      <c r="C193" s="37">
        <v>45068.731842442125</v>
      </c>
      <c r="D193" s="38" t="s">
        <v>768</v>
      </c>
      <c r="E193" s="39">
        <v>31616.0</v>
      </c>
      <c r="F193" s="38" t="s">
        <v>106</v>
      </c>
      <c r="G193" s="38" t="s">
        <v>769</v>
      </c>
      <c r="H193" s="38">
        <v>1.168023173E9</v>
      </c>
      <c r="I193" s="38" t="s">
        <v>92</v>
      </c>
      <c r="J193" s="38" t="s">
        <v>70</v>
      </c>
      <c r="K193" s="38" t="s">
        <v>86</v>
      </c>
      <c r="L193" s="38">
        <v>65.0</v>
      </c>
      <c r="M193" s="38">
        <v>1.7</v>
      </c>
      <c r="N193" s="38" t="s">
        <v>73</v>
      </c>
      <c r="O193" s="38"/>
      <c r="P193" s="38" t="s">
        <v>770</v>
      </c>
      <c r="Q193" s="38"/>
      <c r="R193" s="38" t="s">
        <v>73</v>
      </c>
      <c r="S193" s="38" t="s">
        <v>73</v>
      </c>
      <c r="T193" s="38" t="s">
        <v>73</v>
      </c>
      <c r="U193" s="38" t="s">
        <v>73</v>
      </c>
      <c r="V193" s="38" t="s">
        <v>771</v>
      </c>
      <c r="W193" s="38" t="s">
        <v>772</v>
      </c>
      <c r="X193" s="38"/>
      <c r="Y193" s="38"/>
      <c r="Z193" s="38"/>
      <c r="AA193" s="38"/>
      <c r="AB193" s="40"/>
      <c r="AC193" s="38"/>
      <c r="AD193" s="38"/>
      <c r="AE193" s="38"/>
      <c r="AF193" s="6" t="s">
        <v>80</v>
      </c>
      <c r="AG193" s="38"/>
      <c r="AH193" s="38"/>
      <c r="AI193" s="38"/>
      <c r="AJ193" s="38"/>
      <c r="AK193" s="38"/>
      <c r="AL193" s="38"/>
      <c r="AM193" s="38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14">
        <v>45657.0</v>
      </c>
      <c r="BG193" s="7" t="s">
        <v>73</v>
      </c>
      <c r="BH193" s="7"/>
      <c r="BI193" s="15">
        <f t="shared" si="1"/>
        <v>38</v>
      </c>
      <c r="BJ193" s="15" t="str">
        <f t="shared" si="3"/>
        <v>35-55</v>
      </c>
      <c r="BK193" s="15"/>
      <c r="BL193" s="7"/>
      <c r="BM193" s="7"/>
      <c r="BN193" s="38" t="s">
        <v>80</v>
      </c>
    </row>
    <row r="194" ht="15.75" customHeight="1">
      <c r="A194" s="1">
        <v>210.0</v>
      </c>
      <c r="B194" s="2">
        <v>210.0</v>
      </c>
      <c r="C194" s="48">
        <v>45105.74227501157</v>
      </c>
      <c r="D194" s="49" t="s">
        <v>773</v>
      </c>
      <c r="E194" s="50">
        <v>24714.0</v>
      </c>
      <c r="F194" s="49" t="s">
        <v>106</v>
      </c>
      <c r="G194" s="49" t="s">
        <v>766</v>
      </c>
      <c r="H194" s="49">
        <v>1.133916248E9</v>
      </c>
      <c r="I194" s="49" t="s">
        <v>449</v>
      </c>
      <c r="J194" s="49" t="s">
        <v>70</v>
      </c>
      <c r="K194" s="49" t="s">
        <v>86</v>
      </c>
      <c r="L194" s="49">
        <v>79.0</v>
      </c>
      <c r="M194" s="49" t="s">
        <v>260</v>
      </c>
      <c r="N194" s="49" t="s">
        <v>73</v>
      </c>
      <c r="O194" s="49"/>
      <c r="P194" s="49" t="s">
        <v>342</v>
      </c>
      <c r="Q194" s="49" t="s">
        <v>774</v>
      </c>
      <c r="R194" s="49" t="s">
        <v>73</v>
      </c>
      <c r="S194" s="49" t="s">
        <v>73</v>
      </c>
      <c r="T194" s="49" t="s">
        <v>73</v>
      </c>
      <c r="U194" s="49" t="s">
        <v>73</v>
      </c>
      <c r="V194" s="49"/>
      <c r="W194" s="49"/>
      <c r="X194" s="49"/>
      <c r="Y194" s="49"/>
      <c r="Z194" s="49"/>
      <c r="AA194" s="49"/>
      <c r="AB194" s="51"/>
      <c r="AC194" s="49"/>
      <c r="AD194" s="49"/>
      <c r="AE194" s="49"/>
      <c r="AF194" s="6" t="s">
        <v>80</v>
      </c>
      <c r="AG194" s="49"/>
      <c r="AH194" s="49"/>
      <c r="AI194" s="49"/>
      <c r="AJ194" s="49"/>
      <c r="AK194" s="49"/>
      <c r="AL194" s="49"/>
      <c r="AM194" s="49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  <c r="BB194" s="38"/>
      <c r="BC194" s="38"/>
      <c r="BD194" s="38"/>
      <c r="BE194" s="38"/>
      <c r="BF194" s="14">
        <v>45657.0</v>
      </c>
      <c r="BG194" s="7" t="s">
        <v>73</v>
      </c>
      <c r="BH194" s="7"/>
      <c r="BI194" s="15">
        <f t="shared" si="1"/>
        <v>57</v>
      </c>
      <c r="BJ194" s="15" t="str">
        <f t="shared" si="3"/>
        <v>&gt;55</v>
      </c>
      <c r="BK194" s="15"/>
      <c r="BL194" s="7"/>
      <c r="BM194" s="7"/>
      <c r="BN194" s="49" t="s">
        <v>80</v>
      </c>
    </row>
    <row r="195" ht="15.75" customHeight="1">
      <c r="A195" s="1">
        <v>211.0</v>
      </c>
      <c r="B195" s="2">
        <v>211.0</v>
      </c>
      <c r="C195" s="28">
        <v>45106.384133009255</v>
      </c>
      <c r="D195" s="29" t="s">
        <v>775</v>
      </c>
      <c r="E195" s="30">
        <v>36695.0</v>
      </c>
      <c r="F195" s="29" t="s">
        <v>67</v>
      </c>
      <c r="G195" s="29" t="s">
        <v>776</v>
      </c>
      <c r="H195" s="29">
        <v>1.166233826E9</v>
      </c>
      <c r="I195" s="29" t="s">
        <v>69</v>
      </c>
      <c r="J195" s="29" t="s">
        <v>146</v>
      </c>
      <c r="K195" s="29" t="s">
        <v>166</v>
      </c>
      <c r="L195" s="29">
        <v>50.0</v>
      </c>
      <c r="M195" s="29">
        <v>1.63</v>
      </c>
      <c r="N195" s="29" t="s">
        <v>73</v>
      </c>
      <c r="O195" s="29"/>
      <c r="P195" s="29" t="s">
        <v>178</v>
      </c>
      <c r="Q195" s="29"/>
      <c r="R195" s="29" t="s">
        <v>73</v>
      </c>
      <c r="S195" s="29" t="s">
        <v>73</v>
      </c>
      <c r="T195" s="29" t="s">
        <v>73</v>
      </c>
      <c r="U195" s="29" t="s">
        <v>75</v>
      </c>
      <c r="V195" s="29" t="s">
        <v>777</v>
      </c>
      <c r="W195" s="29" t="s">
        <v>778</v>
      </c>
      <c r="X195" s="29"/>
      <c r="Y195" s="29"/>
      <c r="Z195" s="29"/>
      <c r="AA195" s="29"/>
      <c r="AB195" s="31"/>
      <c r="AC195" s="29"/>
      <c r="AD195" s="29"/>
      <c r="AE195" s="29"/>
      <c r="AF195" s="6" t="s">
        <v>187</v>
      </c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14">
        <v>45657.0</v>
      </c>
      <c r="BG195" s="7" t="s">
        <v>73</v>
      </c>
      <c r="BH195" s="7"/>
      <c r="BI195" s="15">
        <f t="shared" si="1"/>
        <v>24</v>
      </c>
      <c r="BJ195" s="15" t="str">
        <f t="shared" si="3"/>
        <v>18-35</v>
      </c>
      <c r="BK195" s="15"/>
      <c r="BL195" s="7"/>
      <c r="BM195" s="7"/>
      <c r="BN195" s="29" t="s">
        <v>187</v>
      </c>
    </row>
    <row r="196" ht="15.75" customHeight="1">
      <c r="A196" s="1">
        <v>212.0</v>
      </c>
      <c r="B196" s="2">
        <v>212.0</v>
      </c>
      <c r="C196" s="9">
        <v>45113.957818483796</v>
      </c>
      <c r="D196" s="10" t="s">
        <v>779</v>
      </c>
      <c r="E196" s="11">
        <v>35445.0</v>
      </c>
      <c r="F196" s="10" t="s">
        <v>67</v>
      </c>
      <c r="G196" s="10" t="s">
        <v>780</v>
      </c>
      <c r="H196" s="10">
        <v>1.130950015E9</v>
      </c>
      <c r="I196" s="10" t="s">
        <v>92</v>
      </c>
      <c r="J196" s="10" t="s">
        <v>85</v>
      </c>
      <c r="K196" s="10" t="s">
        <v>86</v>
      </c>
      <c r="L196" s="10">
        <v>55.0</v>
      </c>
      <c r="M196" s="10">
        <v>1.6</v>
      </c>
      <c r="N196" s="10" t="s">
        <v>73</v>
      </c>
      <c r="O196" s="10"/>
      <c r="P196" s="10" t="s">
        <v>74</v>
      </c>
      <c r="Q196" s="10"/>
      <c r="R196" s="10" t="s">
        <v>75</v>
      </c>
      <c r="S196" s="10" t="s">
        <v>73</v>
      </c>
      <c r="T196" s="10" t="s">
        <v>73</v>
      </c>
      <c r="U196" s="10" t="s">
        <v>75</v>
      </c>
      <c r="V196" s="10" t="s">
        <v>781</v>
      </c>
      <c r="W196" s="10" t="s">
        <v>782</v>
      </c>
      <c r="X196" s="10"/>
      <c r="Y196" s="10" t="s">
        <v>73</v>
      </c>
      <c r="Z196" s="10"/>
      <c r="AA196" s="10" t="s">
        <v>73</v>
      </c>
      <c r="AB196" s="12"/>
      <c r="AC196" s="10" t="s">
        <v>77</v>
      </c>
      <c r="AD196" s="10" t="s">
        <v>94</v>
      </c>
      <c r="AE196" s="13" t="s">
        <v>138</v>
      </c>
      <c r="AF196" s="6" t="s">
        <v>187</v>
      </c>
      <c r="AG196" s="10" t="s">
        <v>77</v>
      </c>
      <c r="AH196" s="10" t="s">
        <v>82</v>
      </c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4">
        <v>45316.0</v>
      </c>
      <c r="BG196" s="7" t="s">
        <v>75</v>
      </c>
      <c r="BH196" s="7" t="s">
        <v>190</v>
      </c>
      <c r="BI196" s="15">
        <f t="shared" si="1"/>
        <v>27</v>
      </c>
      <c r="BJ196" s="15" t="str">
        <f t="shared" si="3"/>
        <v>18-35</v>
      </c>
      <c r="BK196" s="15"/>
      <c r="BL196" s="7"/>
      <c r="BM196" s="7"/>
      <c r="BN196" s="10" t="s">
        <v>187</v>
      </c>
    </row>
    <row r="197" ht="15.75" customHeight="1">
      <c r="A197" s="1">
        <v>213.0</v>
      </c>
      <c r="B197" s="2">
        <v>213.0</v>
      </c>
      <c r="C197" s="17">
        <v>45128.49010793981</v>
      </c>
      <c r="D197" s="18" t="s">
        <v>783</v>
      </c>
      <c r="E197" s="19">
        <v>34598.0</v>
      </c>
      <c r="F197" s="18" t="s">
        <v>67</v>
      </c>
      <c r="G197" s="18" t="s">
        <v>784</v>
      </c>
      <c r="H197" s="18">
        <v>1.165942593E9</v>
      </c>
      <c r="I197" s="18" t="s">
        <v>449</v>
      </c>
      <c r="J197" s="18" t="s">
        <v>109</v>
      </c>
      <c r="K197" s="18" t="s">
        <v>134</v>
      </c>
      <c r="L197" s="18">
        <v>52.0</v>
      </c>
      <c r="M197" s="18" t="s">
        <v>147</v>
      </c>
      <c r="N197" s="18" t="s">
        <v>73</v>
      </c>
      <c r="O197" s="18"/>
      <c r="P197" s="18" t="s">
        <v>74</v>
      </c>
      <c r="Q197" s="18"/>
      <c r="R197" s="18" t="s">
        <v>73</v>
      </c>
      <c r="S197" s="18" t="s">
        <v>73</v>
      </c>
      <c r="T197" s="18" t="s">
        <v>73</v>
      </c>
      <c r="U197" s="18" t="s">
        <v>73</v>
      </c>
      <c r="V197" s="18"/>
      <c r="W197" s="18"/>
      <c r="X197" s="18"/>
      <c r="Y197" s="18"/>
      <c r="Z197" s="18"/>
      <c r="AA197" s="18"/>
      <c r="AB197" s="20"/>
      <c r="AC197" s="18"/>
      <c r="AD197" s="18"/>
      <c r="AE197" s="18"/>
      <c r="AF197" s="6" t="s">
        <v>80</v>
      </c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4">
        <v>45657.0</v>
      </c>
      <c r="BG197" s="7" t="s">
        <v>73</v>
      </c>
      <c r="BH197" s="7"/>
      <c r="BI197" s="15">
        <f t="shared" si="1"/>
        <v>30</v>
      </c>
      <c r="BJ197" s="15" t="str">
        <f t="shared" si="3"/>
        <v>18-35</v>
      </c>
      <c r="BK197" s="15"/>
      <c r="BL197" s="7"/>
      <c r="BM197" s="7"/>
      <c r="BN197" s="18" t="s">
        <v>80</v>
      </c>
    </row>
    <row r="198" ht="15.75" customHeight="1">
      <c r="A198" s="1">
        <v>215.0</v>
      </c>
      <c r="B198" s="2">
        <v>215.0</v>
      </c>
      <c r="C198" s="17">
        <v>45138.905026215274</v>
      </c>
      <c r="D198" s="18" t="s">
        <v>785</v>
      </c>
      <c r="E198" s="19">
        <v>39786.0</v>
      </c>
      <c r="F198" s="18" t="s">
        <v>67</v>
      </c>
      <c r="G198" s="18" t="s">
        <v>786</v>
      </c>
      <c r="H198" s="18">
        <v>5.491125748755E12</v>
      </c>
      <c r="I198" s="18" t="s">
        <v>92</v>
      </c>
      <c r="J198" s="18" t="s">
        <v>85</v>
      </c>
      <c r="K198" s="18" t="s">
        <v>86</v>
      </c>
      <c r="L198" s="18">
        <v>57.0</v>
      </c>
      <c r="M198" s="18" t="s">
        <v>177</v>
      </c>
      <c r="N198" s="18" t="s">
        <v>73</v>
      </c>
      <c r="O198" s="18"/>
      <c r="P198" s="18" t="s">
        <v>74</v>
      </c>
      <c r="Q198" s="18"/>
      <c r="R198" s="18" t="s">
        <v>75</v>
      </c>
      <c r="S198" s="18" t="s">
        <v>73</v>
      </c>
      <c r="T198" s="18" t="s">
        <v>73</v>
      </c>
      <c r="U198" s="18" t="s">
        <v>73</v>
      </c>
      <c r="V198" s="18"/>
      <c r="W198" s="18"/>
      <c r="X198" s="18"/>
      <c r="Y198" s="18"/>
      <c r="Z198" s="18"/>
      <c r="AA198" s="18"/>
      <c r="AB198" s="20"/>
      <c r="AC198" s="18"/>
      <c r="AD198" s="18"/>
      <c r="AE198" s="18"/>
      <c r="AF198" s="6" t="s">
        <v>80</v>
      </c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4">
        <v>45657.0</v>
      </c>
      <c r="BG198" s="7" t="s">
        <v>73</v>
      </c>
      <c r="BH198" s="7"/>
      <c r="BI198" s="15">
        <f t="shared" si="1"/>
        <v>16</v>
      </c>
      <c r="BJ198" s="15" t="str">
        <f t="shared" si="3"/>
        <v>18-35</v>
      </c>
      <c r="BK198" s="15"/>
      <c r="BL198" s="7"/>
      <c r="BM198" s="7"/>
      <c r="BN198" s="18" t="s">
        <v>80</v>
      </c>
    </row>
    <row r="199" ht="15.75" customHeight="1">
      <c r="A199" s="1">
        <v>216.0</v>
      </c>
      <c r="B199" s="2">
        <v>216.0</v>
      </c>
      <c r="C199" s="28">
        <v>45140.45166157407</v>
      </c>
      <c r="D199" s="29" t="s">
        <v>787</v>
      </c>
      <c r="E199" s="30">
        <v>37024.0</v>
      </c>
      <c r="F199" s="29" t="s">
        <v>67</v>
      </c>
      <c r="G199" s="29" t="s">
        <v>788</v>
      </c>
      <c r="H199" s="29">
        <v>1.13649696E8</v>
      </c>
      <c r="I199" s="29" t="s">
        <v>92</v>
      </c>
      <c r="J199" s="29" t="s">
        <v>70</v>
      </c>
      <c r="K199" s="29" t="s">
        <v>86</v>
      </c>
      <c r="L199" s="29">
        <v>54.0</v>
      </c>
      <c r="M199" s="29" t="s">
        <v>87</v>
      </c>
      <c r="N199" s="29" t="s">
        <v>73</v>
      </c>
      <c r="O199" s="29"/>
      <c r="P199" s="29" t="s">
        <v>178</v>
      </c>
      <c r="Q199" s="29"/>
      <c r="R199" s="29" t="s">
        <v>75</v>
      </c>
      <c r="S199" s="29" t="s">
        <v>73</v>
      </c>
      <c r="T199" s="29" t="s">
        <v>73</v>
      </c>
      <c r="U199" s="29" t="s">
        <v>73</v>
      </c>
      <c r="V199" s="29"/>
      <c r="W199" s="29"/>
      <c r="X199" s="29"/>
      <c r="Y199" s="29"/>
      <c r="Z199" s="29"/>
      <c r="AA199" s="29"/>
      <c r="AB199" s="31"/>
      <c r="AC199" s="29"/>
      <c r="AD199" s="29"/>
      <c r="AE199" s="29"/>
      <c r="AF199" s="6" t="s">
        <v>187</v>
      </c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14">
        <v>45657.0</v>
      </c>
      <c r="BG199" s="7" t="s">
        <v>73</v>
      </c>
      <c r="BH199" s="7"/>
      <c r="BI199" s="15">
        <f t="shared" si="1"/>
        <v>23</v>
      </c>
      <c r="BJ199" s="15" t="str">
        <f t="shared" si="3"/>
        <v>18-35</v>
      </c>
      <c r="BK199" s="15"/>
      <c r="BL199" s="7"/>
      <c r="BM199" s="7"/>
      <c r="BN199" s="29" t="s">
        <v>187</v>
      </c>
    </row>
    <row r="200" ht="15.75" customHeight="1">
      <c r="A200" s="1">
        <v>217.0</v>
      </c>
      <c r="B200" s="2">
        <v>217.0</v>
      </c>
      <c r="C200" s="9">
        <v>45140.49145417824</v>
      </c>
      <c r="D200" s="10" t="s">
        <v>789</v>
      </c>
      <c r="E200" s="11">
        <v>36895.0</v>
      </c>
      <c r="F200" s="10" t="s">
        <v>67</v>
      </c>
      <c r="G200" s="10" t="s">
        <v>790</v>
      </c>
      <c r="H200" s="10">
        <v>1.162252318E9</v>
      </c>
      <c r="I200" s="10" t="s">
        <v>92</v>
      </c>
      <c r="J200" s="10" t="s">
        <v>85</v>
      </c>
      <c r="K200" s="10" t="s">
        <v>71</v>
      </c>
      <c r="L200" s="10">
        <v>54.0</v>
      </c>
      <c r="M200" s="10">
        <v>1.64</v>
      </c>
      <c r="N200" s="10" t="s">
        <v>73</v>
      </c>
      <c r="O200" s="10"/>
      <c r="P200" s="10" t="s">
        <v>178</v>
      </c>
      <c r="Q200" s="10"/>
      <c r="R200" s="10" t="s">
        <v>75</v>
      </c>
      <c r="S200" s="10" t="s">
        <v>75</v>
      </c>
      <c r="T200" s="10" t="s">
        <v>73</v>
      </c>
      <c r="U200" s="10" t="s">
        <v>75</v>
      </c>
      <c r="V200" s="10" t="s">
        <v>791</v>
      </c>
      <c r="W200" s="10" t="s">
        <v>792</v>
      </c>
      <c r="X200" s="10"/>
      <c r="Y200" s="10" t="s">
        <v>73</v>
      </c>
      <c r="Z200" s="10"/>
      <c r="AA200" s="10" t="s">
        <v>75</v>
      </c>
      <c r="AB200" s="12" t="s">
        <v>76</v>
      </c>
      <c r="AC200" s="10" t="s">
        <v>82</v>
      </c>
      <c r="AD200" s="10" t="s">
        <v>78</v>
      </c>
      <c r="AE200" s="13" t="s">
        <v>131</v>
      </c>
      <c r="AF200" s="6" t="s">
        <v>80</v>
      </c>
      <c r="AG200" s="10" t="s">
        <v>95</v>
      </c>
      <c r="AH200" s="10" t="s">
        <v>77</v>
      </c>
      <c r="AI200" s="10" t="s">
        <v>793</v>
      </c>
      <c r="AJ200" s="10"/>
      <c r="AK200" s="10"/>
      <c r="AL200" s="10"/>
      <c r="AM200" s="10"/>
      <c r="AN200" s="42"/>
      <c r="AO200" s="42"/>
      <c r="AP200" s="42"/>
      <c r="AQ200" s="42"/>
      <c r="AR200" s="42"/>
      <c r="AS200" s="42"/>
      <c r="AT200" s="42"/>
      <c r="AU200" s="42"/>
      <c r="AV200" s="42"/>
      <c r="AW200" s="42"/>
      <c r="AX200" s="42"/>
      <c r="AY200" s="42"/>
      <c r="AZ200" s="42"/>
      <c r="BA200" s="42"/>
      <c r="BB200" s="42"/>
      <c r="BC200" s="42"/>
      <c r="BD200" s="42"/>
      <c r="BE200" s="42"/>
      <c r="BF200" s="14">
        <v>45229.0</v>
      </c>
      <c r="BG200" s="7" t="s">
        <v>75</v>
      </c>
      <c r="BH200" s="7" t="s">
        <v>190</v>
      </c>
      <c r="BI200" s="15">
        <f t="shared" si="1"/>
        <v>22</v>
      </c>
      <c r="BJ200" s="15" t="str">
        <f t="shared" si="3"/>
        <v>18-35</v>
      </c>
      <c r="BK200" s="15" t="s">
        <v>75</v>
      </c>
      <c r="BL200" s="36" t="s">
        <v>191</v>
      </c>
      <c r="BM200" s="7"/>
      <c r="BN200" s="10" t="s">
        <v>80</v>
      </c>
    </row>
    <row r="201" ht="15.75" customHeight="1">
      <c r="A201" s="1">
        <v>218.0</v>
      </c>
      <c r="B201" s="2">
        <v>218.0</v>
      </c>
      <c r="C201" s="9">
        <v>45140.63899028936</v>
      </c>
      <c r="D201" s="10" t="s">
        <v>794</v>
      </c>
      <c r="E201" s="11">
        <v>36495.0</v>
      </c>
      <c r="F201" s="10" t="s">
        <v>106</v>
      </c>
      <c r="G201" s="10" t="s">
        <v>795</v>
      </c>
      <c r="H201" s="10">
        <v>1.566405682E9</v>
      </c>
      <c r="I201" s="10" t="s">
        <v>92</v>
      </c>
      <c r="J201" s="10" t="s">
        <v>85</v>
      </c>
      <c r="K201" s="10" t="s">
        <v>86</v>
      </c>
      <c r="L201" s="10">
        <v>56.0</v>
      </c>
      <c r="M201" s="10">
        <v>1.68</v>
      </c>
      <c r="N201" s="10" t="s">
        <v>73</v>
      </c>
      <c r="O201" s="10"/>
      <c r="P201" s="10" t="s">
        <v>74</v>
      </c>
      <c r="Q201" s="10"/>
      <c r="R201" s="10" t="s">
        <v>73</v>
      </c>
      <c r="S201" s="10" t="s">
        <v>73</v>
      </c>
      <c r="T201" s="10" t="s">
        <v>73</v>
      </c>
      <c r="U201" s="10" t="s">
        <v>73</v>
      </c>
      <c r="V201" s="10"/>
      <c r="W201" s="10"/>
      <c r="X201" s="10"/>
      <c r="Y201" s="10" t="s">
        <v>73</v>
      </c>
      <c r="Z201" s="10"/>
      <c r="AA201" s="10" t="s">
        <v>75</v>
      </c>
      <c r="AB201" s="12" t="s">
        <v>76</v>
      </c>
      <c r="AC201" s="10" t="s">
        <v>82</v>
      </c>
      <c r="AD201" s="10" t="s">
        <v>78</v>
      </c>
      <c r="AE201" s="13" t="s">
        <v>131</v>
      </c>
      <c r="AF201" s="6" t="s">
        <v>80</v>
      </c>
      <c r="AG201" s="10" t="s">
        <v>82</v>
      </c>
      <c r="AH201" s="10" t="s">
        <v>82</v>
      </c>
      <c r="AI201" s="10"/>
      <c r="AJ201" s="10"/>
      <c r="AK201" s="10"/>
      <c r="AL201" s="10"/>
      <c r="AM201" s="10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4">
        <v>45657.0</v>
      </c>
      <c r="BG201" s="7" t="s">
        <v>73</v>
      </c>
      <c r="BH201" s="7" t="s">
        <v>190</v>
      </c>
      <c r="BI201" s="15">
        <f t="shared" si="1"/>
        <v>25</v>
      </c>
      <c r="BJ201" s="15" t="str">
        <f t="shared" si="3"/>
        <v>18-35</v>
      </c>
      <c r="BK201" s="15"/>
      <c r="BL201" s="7"/>
      <c r="BM201" s="7"/>
      <c r="BN201" s="10" t="s">
        <v>80</v>
      </c>
    </row>
    <row r="202" ht="15.75" customHeight="1">
      <c r="A202" s="1">
        <v>219.0</v>
      </c>
      <c r="B202" s="2">
        <v>219.0</v>
      </c>
      <c r="C202" s="28">
        <v>45155.61518739583</v>
      </c>
      <c r="D202" s="29" t="s">
        <v>796</v>
      </c>
      <c r="E202" s="30">
        <v>35807.0</v>
      </c>
      <c r="F202" s="29" t="s">
        <v>67</v>
      </c>
      <c r="G202" s="29" t="s">
        <v>797</v>
      </c>
      <c r="H202" s="29">
        <v>5.43435170439E11</v>
      </c>
      <c r="I202" s="29" t="s">
        <v>92</v>
      </c>
      <c r="J202" s="29" t="s">
        <v>85</v>
      </c>
      <c r="K202" s="29" t="s">
        <v>71</v>
      </c>
      <c r="L202" s="29">
        <v>43.0</v>
      </c>
      <c r="M202" s="29" t="s">
        <v>487</v>
      </c>
      <c r="N202" s="29" t="s">
        <v>75</v>
      </c>
      <c r="O202" s="29" t="s">
        <v>798</v>
      </c>
      <c r="P202" s="29" t="s">
        <v>178</v>
      </c>
      <c r="Q202" s="29"/>
      <c r="R202" s="29" t="s">
        <v>73</v>
      </c>
      <c r="S202" s="29" t="s">
        <v>73</v>
      </c>
      <c r="T202" s="29" t="s">
        <v>73</v>
      </c>
      <c r="U202" s="29" t="s">
        <v>75</v>
      </c>
      <c r="V202" s="29" t="s">
        <v>799</v>
      </c>
      <c r="W202" s="29" t="s">
        <v>800</v>
      </c>
      <c r="X202" s="29"/>
      <c r="Y202" s="29"/>
      <c r="Z202" s="29"/>
      <c r="AA202" s="29"/>
      <c r="AB202" s="31"/>
      <c r="AC202" s="29"/>
      <c r="AD202" s="29"/>
      <c r="AE202" s="29"/>
      <c r="AF202" s="6" t="s">
        <v>187</v>
      </c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14">
        <v>45657.0</v>
      </c>
      <c r="BG202" s="7" t="s">
        <v>73</v>
      </c>
      <c r="BH202" s="7"/>
      <c r="BI202" s="15">
        <f t="shared" si="1"/>
        <v>26</v>
      </c>
      <c r="BJ202" s="15" t="str">
        <f t="shared" si="3"/>
        <v>18-35</v>
      </c>
      <c r="BK202" s="15"/>
      <c r="BL202" s="7"/>
      <c r="BM202" s="7"/>
      <c r="BN202" s="29" t="s">
        <v>801</v>
      </c>
    </row>
    <row r="203" ht="15.75" customHeight="1">
      <c r="A203" s="1">
        <v>220.0</v>
      </c>
      <c r="B203" s="2">
        <v>220.0</v>
      </c>
      <c r="C203" s="37">
        <v>45175.56986204861</v>
      </c>
      <c r="D203" s="38" t="s">
        <v>802</v>
      </c>
      <c r="E203" s="39">
        <v>33721.0</v>
      </c>
      <c r="F203" s="38" t="s">
        <v>67</v>
      </c>
      <c r="G203" s="38" t="s">
        <v>803</v>
      </c>
      <c r="H203" s="38">
        <v>3.757630676E9</v>
      </c>
      <c r="I203" s="38" t="s">
        <v>92</v>
      </c>
      <c r="J203" s="38" t="s">
        <v>85</v>
      </c>
      <c r="K203" s="38" t="s">
        <v>71</v>
      </c>
      <c r="L203" s="38">
        <v>80.0</v>
      </c>
      <c r="M203" s="38">
        <v>1.7</v>
      </c>
      <c r="N203" s="38" t="s">
        <v>73</v>
      </c>
      <c r="O203" s="38"/>
      <c r="P203" s="38" t="s">
        <v>423</v>
      </c>
      <c r="Q203" s="38"/>
      <c r="R203" s="38" t="s">
        <v>73</v>
      </c>
      <c r="S203" s="38" t="s">
        <v>73</v>
      </c>
      <c r="T203" s="38" t="s">
        <v>73</v>
      </c>
      <c r="U203" s="38" t="s">
        <v>73</v>
      </c>
      <c r="V203" s="38"/>
      <c r="W203" s="38"/>
      <c r="X203" s="38"/>
      <c r="Y203" s="38"/>
      <c r="Z203" s="38"/>
      <c r="AA203" s="38"/>
      <c r="AB203" s="40"/>
      <c r="AC203" s="38"/>
      <c r="AD203" s="38"/>
      <c r="AE203" s="38"/>
      <c r="AF203" s="6" t="s">
        <v>139</v>
      </c>
      <c r="AG203" s="38"/>
      <c r="AH203" s="38"/>
      <c r="AI203" s="38"/>
      <c r="AJ203" s="38" t="s">
        <v>804</v>
      </c>
      <c r="AK203" s="38" t="s">
        <v>805</v>
      </c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8"/>
      <c r="AY203" s="38"/>
      <c r="AZ203" s="38"/>
      <c r="BA203" s="38"/>
      <c r="BB203" s="38"/>
      <c r="BC203" s="38"/>
      <c r="BD203" s="38"/>
      <c r="BE203" s="38"/>
      <c r="BF203" s="14">
        <v>45657.0</v>
      </c>
      <c r="BG203" s="7" t="s">
        <v>73</v>
      </c>
      <c r="BH203" s="7"/>
      <c r="BI203" s="15">
        <f t="shared" si="1"/>
        <v>32</v>
      </c>
      <c r="BJ203" s="15" t="str">
        <f t="shared" si="3"/>
        <v>18-35</v>
      </c>
      <c r="BK203" s="15"/>
      <c r="BL203" s="7"/>
      <c r="BM203" s="7"/>
      <c r="BN203" s="38" t="s">
        <v>151</v>
      </c>
    </row>
    <row r="204" ht="15.75" customHeight="1">
      <c r="A204" s="1">
        <v>221.0</v>
      </c>
      <c r="B204" s="2">
        <v>221.0</v>
      </c>
      <c r="C204" s="17">
        <v>45175.86698133102</v>
      </c>
      <c r="D204" s="18" t="s">
        <v>806</v>
      </c>
      <c r="E204" s="19">
        <v>26018.0</v>
      </c>
      <c r="F204" s="18" t="s">
        <v>67</v>
      </c>
      <c r="G204" s="18" t="s">
        <v>807</v>
      </c>
      <c r="H204" s="18">
        <v>1.149399301E9</v>
      </c>
      <c r="I204" s="18" t="s">
        <v>69</v>
      </c>
      <c r="J204" s="18" t="s">
        <v>85</v>
      </c>
      <c r="K204" s="18" t="s">
        <v>86</v>
      </c>
      <c r="L204" s="18">
        <v>52.0</v>
      </c>
      <c r="M204" s="18" t="s">
        <v>241</v>
      </c>
      <c r="N204" s="18" t="s">
        <v>73</v>
      </c>
      <c r="O204" s="18"/>
      <c r="P204" s="18" t="s">
        <v>210</v>
      </c>
      <c r="Q204" s="18" t="s">
        <v>582</v>
      </c>
      <c r="R204" s="18" t="s">
        <v>73</v>
      </c>
      <c r="S204" s="18" t="s">
        <v>73</v>
      </c>
      <c r="T204" s="18" t="s">
        <v>73</v>
      </c>
      <c r="U204" s="18" t="s">
        <v>73</v>
      </c>
      <c r="V204" s="18"/>
      <c r="W204" s="18"/>
      <c r="X204" s="18"/>
      <c r="Y204" s="18"/>
      <c r="Z204" s="18"/>
      <c r="AA204" s="18"/>
      <c r="AB204" s="20"/>
      <c r="AC204" s="18"/>
      <c r="AD204" s="18"/>
      <c r="AE204" s="18"/>
      <c r="AF204" s="6" t="s">
        <v>80</v>
      </c>
      <c r="AG204" s="18"/>
      <c r="AH204" s="18"/>
      <c r="AI204" s="18"/>
      <c r="AJ204" s="18" t="s">
        <v>808</v>
      </c>
      <c r="AK204" s="18" t="s">
        <v>805</v>
      </c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4">
        <v>45657.0</v>
      </c>
      <c r="BG204" s="7" t="s">
        <v>73</v>
      </c>
      <c r="BH204" s="7"/>
      <c r="BI204" s="15">
        <f t="shared" si="1"/>
        <v>53</v>
      </c>
      <c r="BJ204" s="15" t="str">
        <f t="shared" si="3"/>
        <v>35-55</v>
      </c>
      <c r="BK204" s="15"/>
      <c r="BL204" s="7"/>
      <c r="BM204" s="7"/>
      <c r="BN204" s="18" t="s">
        <v>80</v>
      </c>
    </row>
    <row r="205" ht="15.75" customHeight="1">
      <c r="A205" s="1">
        <v>222.0</v>
      </c>
      <c r="B205" s="2">
        <v>222.0</v>
      </c>
      <c r="C205" s="17">
        <v>45176.686450451394</v>
      </c>
      <c r="D205" s="18" t="s">
        <v>809</v>
      </c>
      <c r="E205" s="19">
        <v>32776.0</v>
      </c>
      <c r="F205" s="18" t="s">
        <v>67</v>
      </c>
      <c r="G205" s="18" t="s">
        <v>810</v>
      </c>
      <c r="H205" s="18">
        <v>1.136599361E9</v>
      </c>
      <c r="I205" s="18" t="s">
        <v>449</v>
      </c>
      <c r="J205" s="18" t="s">
        <v>85</v>
      </c>
      <c r="K205" s="18" t="s">
        <v>134</v>
      </c>
      <c r="L205" s="18">
        <v>75.0</v>
      </c>
      <c r="M205" s="18" t="s">
        <v>72</v>
      </c>
      <c r="N205" s="18" t="s">
        <v>73</v>
      </c>
      <c r="O205" s="18"/>
      <c r="P205" s="18" t="s">
        <v>74</v>
      </c>
      <c r="Q205" s="18"/>
      <c r="R205" s="18" t="s">
        <v>73</v>
      </c>
      <c r="S205" s="18" t="s">
        <v>73</v>
      </c>
      <c r="T205" s="18" t="s">
        <v>73</v>
      </c>
      <c r="U205" s="18" t="s">
        <v>73</v>
      </c>
      <c r="V205" s="18"/>
      <c r="W205" s="18"/>
      <c r="X205" s="18"/>
      <c r="Y205" s="18"/>
      <c r="Z205" s="18"/>
      <c r="AA205" s="18"/>
      <c r="AB205" s="20"/>
      <c r="AC205" s="18"/>
      <c r="AD205" s="18"/>
      <c r="AE205" s="18"/>
      <c r="AF205" s="6" t="s">
        <v>811</v>
      </c>
      <c r="AG205" s="18"/>
      <c r="AH205" s="18"/>
      <c r="AI205" s="18"/>
      <c r="AJ205" s="18" t="s">
        <v>804</v>
      </c>
      <c r="AK205" s="18" t="s">
        <v>812</v>
      </c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4">
        <v>45657.0</v>
      </c>
      <c r="BG205" s="7" t="s">
        <v>73</v>
      </c>
      <c r="BH205" s="7"/>
      <c r="BI205" s="15">
        <f t="shared" si="1"/>
        <v>35</v>
      </c>
      <c r="BJ205" s="15" t="str">
        <f t="shared" si="3"/>
        <v>18-35</v>
      </c>
      <c r="BK205" s="15"/>
      <c r="BL205" s="7"/>
      <c r="BM205" s="7"/>
      <c r="BN205" s="18" t="s">
        <v>80</v>
      </c>
    </row>
    <row r="206" ht="15.75" customHeight="1">
      <c r="A206" s="1">
        <v>224.0</v>
      </c>
      <c r="B206" s="2">
        <v>224.0</v>
      </c>
      <c r="C206" s="17">
        <v>45176.690903344905</v>
      </c>
      <c r="D206" s="18" t="s">
        <v>813</v>
      </c>
      <c r="E206" s="19">
        <v>21424.0</v>
      </c>
      <c r="F206" s="18" t="s">
        <v>67</v>
      </c>
      <c r="G206" s="18" t="s">
        <v>814</v>
      </c>
      <c r="H206" s="18">
        <v>4.5789446E7</v>
      </c>
      <c r="I206" s="18" t="s">
        <v>92</v>
      </c>
      <c r="J206" s="18" t="s">
        <v>109</v>
      </c>
      <c r="K206" s="18" t="s">
        <v>86</v>
      </c>
      <c r="L206" s="18">
        <v>63.0</v>
      </c>
      <c r="M206" s="18" t="s">
        <v>487</v>
      </c>
      <c r="N206" s="18" t="s">
        <v>75</v>
      </c>
      <c r="O206" s="18" t="s">
        <v>582</v>
      </c>
      <c r="P206" s="18" t="s">
        <v>74</v>
      </c>
      <c r="Q206" s="18"/>
      <c r="R206" s="18" t="s">
        <v>73</v>
      </c>
      <c r="S206" s="18" t="s">
        <v>73</v>
      </c>
      <c r="T206" s="18" t="s">
        <v>73</v>
      </c>
      <c r="U206" s="18" t="s">
        <v>73</v>
      </c>
      <c r="V206" s="18"/>
      <c r="W206" s="18"/>
      <c r="X206" s="18"/>
      <c r="Y206" s="18"/>
      <c r="Z206" s="18"/>
      <c r="AA206" s="18"/>
      <c r="AB206" s="20"/>
      <c r="AC206" s="18"/>
      <c r="AD206" s="18"/>
      <c r="AE206" s="18"/>
      <c r="AF206" s="6" t="s">
        <v>80</v>
      </c>
      <c r="AG206" s="18"/>
      <c r="AH206" s="18"/>
      <c r="AI206" s="18"/>
      <c r="AJ206" s="18" t="s">
        <v>808</v>
      </c>
      <c r="AK206" s="18" t="s">
        <v>812</v>
      </c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4">
        <v>45657.0</v>
      </c>
      <c r="BG206" s="7" t="s">
        <v>73</v>
      </c>
      <c r="BH206" s="7"/>
      <c r="BI206" s="15">
        <f t="shared" si="1"/>
        <v>66</v>
      </c>
      <c r="BJ206" s="15" t="str">
        <f t="shared" si="3"/>
        <v>&gt;55</v>
      </c>
      <c r="BK206" s="15"/>
      <c r="BL206" s="7"/>
      <c r="BM206" s="7"/>
      <c r="BN206" s="18" t="s">
        <v>80</v>
      </c>
    </row>
    <row r="207" ht="15.75" customHeight="1">
      <c r="A207" s="1">
        <v>225.0</v>
      </c>
      <c r="B207" s="2">
        <v>225.0</v>
      </c>
      <c r="C207" s="28">
        <v>45199.41665868055</v>
      </c>
      <c r="D207" s="29" t="s">
        <v>815</v>
      </c>
      <c r="E207" s="30">
        <v>34025.0</v>
      </c>
      <c r="F207" s="29" t="s">
        <v>67</v>
      </c>
      <c r="G207" s="29" t="s">
        <v>816</v>
      </c>
      <c r="H207" s="62" t="s">
        <v>817</v>
      </c>
      <c r="I207" s="29" t="s">
        <v>92</v>
      </c>
      <c r="J207" s="29" t="s">
        <v>85</v>
      </c>
      <c r="K207" s="29" t="s">
        <v>71</v>
      </c>
      <c r="L207" s="29">
        <v>56.0</v>
      </c>
      <c r="M207" s="29" t="s">
        <v>101</v>
      </c>
      <c r="N207" s="29" t="s">
        <v>73</v>
      </c>
      <c r="O207" s="29"/>
      <c r="P207" s="29" t="s">
        <v>178</v>
      </c>
      <c r="Q207" s="29"/>
      <c r="R207" s="29" t="s">
        <v>73</v>
      </c>
      <c r="S207" s="29" t="s">
        <v>73</v>
      </c>
      <c r="T207" s="29" t="s">
        <v>73</v>
      </c>
      <c r="U207" s="29" t="s">
        <v>75</v>
      </c>
      <c r="V207" s="29" t="s">
        <v>818</v>
      </c>
      <c r="W207" s="29" t="s">
        <v>819</v>
      </c>
      <c r="X207" s="29"/>
      <c r="Y207" s="29"/>
      <c r="Z207" s="29"/>
      <c r="AA207" s="29"/>
      <c r="AB207" s="31"/>
      <c r="AC207" s="29"/>
      <c r="AD207" s="29"/>
      <c r="AE207" s="29"/>
      <c r="AF207" s="6" t="s">
        <v>187</v>
      </c>
      <c r="AG207" s="29"/>
      <c r="AH207" s="29"/>
      <c r="AI207" s="29"/>
      <c r="AJ207" s="29" t="s">
        <v>808</v>
      </c>
      <c r="AK207" s="29" t="s">
        <v>812</v>
      </c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14">
        <v>45657.0</v>
      </c>
      <c r="BG207" s="7" t="s">
        <v>73</v>
      </c>
      <c r="BH207" s="7"/>
      <c r="BI207" s="15">
        <f t="shared" si="1"/>
        <v>31</v>
      </c>
      <c r="BJ207" s="15" t="str">
        <f t="shared" si="3"/>
        <v>18-35</v>
      </c>
      <c r="BK207" s="15"/>
      <c r="BL207" s="7"/>
      <c r="BM207" s="7"/>
      <c r="BN207" s="29" t="s">
        <v>187</v>
      </c>
    </row>
    <row r="208" ht="15.75" customHeight="1">
      <c r="A208" s="1">
        <v>228.0</v>
      </c>
      <c r="B208" s="2">
        <v>227.0</v>
      </c>
      <c r="C208" s="63">
        <v>45204.71764649305</v>
      </c>
      <c r="D208" s="56" t="s">
        <v>820</v>
      </c>
      <c r="E208" s="64">
        <v>37530.0</v>
      </c>
      <c r="F208" s="56" t="s">
        <v>67</v>
      </c>
      <c r="G208" s="56" t="s">
        <v>821</v>
      </c>
      <c r="H208" s="56">
        <v>1.130658031E9</v>
      </c>
      <c r="I208" s="56" t="s">
        <v>449</v>
      </c>
      <c r="J208" s="56" t="s">
        <v>70</v>
      </c>
      <c r="K208" s="56" t="s">
        <v>134</v>
      </c>
      <c r="L208" s="56">
        <v>54.0</v>
      </c>
      <c r="M208" s="56">
        <v>1.68</v>
      </c>
      <c r="N208" s="56" t="s">
        <v>73</v>
      </c>
      <c r="O208" s="56"/>
      <c r="P208" s="56" t="s">
        <v>178</v>
      </c>
      <c r="Q208" s="56"/>
      <c r="R208" s="56" t="s">
        <v>73</v>
      </c>
      <c r="S208" s="56" t="s">
        <v>73</v>
      </c>
      <c r="T208" s="56" t="s">
        <v>73</v>
      </c>
      <c r="U208" s="56" t="s">
        <v>73</v>
      </c>
      <c r="V208" s="56"/>
      <c r="W208" s="56"/>
      <c r="X208" s="56"/>
      <c r="Y208" s="56"/>
      <c r="Z208" s="56"/>
      <c r="AA208" s="56"/>
      <c r="AB208" s="65"/>
      <c r="AC208" s="56"/>
      <c r="AD208" s="56"/>
      <c r="AE208" s="56"/>
      <c r="AF208" s="6" t="s">
        <v>80</v>
      </c>
      <c r="AG208" s="56"/>
      <c r="AH208" s="56"/>
      <c r="AI208" s="56"/>
      <c r="AJ208" s="56" t="s">
        <v>808</v>
      </c>
      <c r="AK208" s="56" t="s">
        <v>812</v>
      </c>
      <c r="AL208" s="56"/>
      <c r="AM208" s="56"/>
      <c r="AN208" s="38"/>
      <c r="AO208" s="38"/>
      <c r="AP208" s="38"/>
      <c r="AQ208" s="38"/>
      <c r="AR208" s="38"/>
      <c r="AS208" s="38"/>
      <c r="AT208" s="38"/>
      <c r="AU208" s="38"/>
      <c r="AV208" s="38"/>
      <c r="AW208" s="38"/>
      <c r="AX208" s="38"/>
      <c r="AY208" s="38"/>
      <c r="AZ208" s="38"/>
      <c r="BA208" s="38"/>
      <c r="BB208" s="38"/>
      <c r="BC208" s="38"/>
      <c r="BD208" s="38"/>
      <c r="BE208" s="38"/>
      <c r="BF208" s="14">
        <v>45657.0</v>
      </c>
      <c r="BG208" s="7" t="s">
        <v>73</v>
      </c>
      <c r="BH208" s="7"/>
      <c r="BI208" s="15">
        <f t="shared" si="1"/>
        <v>22</v>
      </c>
      <c r="BJ208" s="15" t="str">
        <f t="shared" si="3"/>
        <v>18-35</v>
      </c>
      <c r="BK208" s="15"/>
      <c r="BL208" s="7"/>
      <c r="BM208" s="7"/>
      <c r="BN208" s="56" t="s">
        <v>80</v>
      </c>
    </row>
    <row r="209" ht="15.75" customHeight="1">
      <c r="A209" s="1">
        <v>229.0</v>
      </c>
      <c r="B209" s="2">
        <v>228.0</v>
      </c>
      <c r="C209" s="28">
        <v>45204.730791145834</v>
      </c>
      <c r="D209" s="29" t="s">
        <v>822</v>
      </c>
      <c r="E209" s="30">
        <v>34703.0</v>
      </c>
      <c r="F209" s="29" t="s">
        <v>67</v>
      </c>
      <c r="G209" s="29" t="s">
        <v>823</v>
      </c>
      <c r="H209" s="29">
        <v>1.130230332E9</v>
      </c>
      <c r="I209" s="29" t="s">
        <v>92</v>
      </c>
      <c r="J209" s="29" t="s">
        <v>85</v>
      </c>
      <c r="K209" s="29" t="s">
        <v>71</v>
      </c>
      <c r="L209" s="29">
        <v>65.0</v>
      </c>
      <c r="M209" s="29" t="s">
        <v>265</v>
      </c>
      <c r="N209" s="29" t="s">
        <v>73</v>
      </c>
      <c r="O209" s="29"/>
      <c r="P209" s="29" t="s">
        <v>178</v>
      </c>
      <c r="Q209" s="29"/>
      <c r="R209" s="29" t="s">
        <v>73</v>
      </c>
      <c r="S209" s="29" t="s">
        <v>73</v>
      </c>
      <c r="T209" s="29" t="s">
        <v>73</v>
      </c>
      <c r="U209" s="29" t="s">
        <v>75</v>
      </c>
      <c r="V209" s="29" t="s">
        <v>824</v>
      </c>
      <c r="W209" s="29" t="s">
        <v>825</v>
      </c>
      <c r="X209" s="29"/>
      <c r="Y209" s="29"/>
      <c r="Z209" s="29"/>
      <c r="AA209" s="29"/>
      <c r="AB209" s="31"/>
      <c r="AC209" s="29"/>
      <c r="AD209" s="29"/>
      <c r="AE209" s="29"/>
      <c r="AF209" s="6" t="s">
        <v>80</v>
      </c>
      <c r="AG209" s="29"/>
      <c r="AH209" s="29"/>
      <c r="AI209" s="29"/>
      <c r="AJ209" s="29" t="s">
        <v>808</v>
      </c>
      <c r="AK209" s="29" t="s">
        <v>826</v>
      </c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14">
        <v>45657.0</v>
      </c>
      <c r="BG209" s="7" t="s">
        <v>73</v>
      </c>
      <c r="BH209" s="7"/>
      <c r="BI209" s="15">
        <f t="shared" si="1"/>
        <v>29</v>
      </c>
      <c r="BJ209" s="15" t="str">
        <f t="shared" si="3"/>
        <v>18-35</v>
      </c>
      <c r="BK209" s="15"/>
      <c r="BL209" s="7"/>
      <c r="BM209" s="7"/>
      <c r="BN209" s="29" t="s">
        <v>80</v>
      </c>
    </row>
    <row r="210" ht="15.75" customHeight="1">
      <c r="A210" s="1">
        <v>230.0</v>
      </c>
      <c r="B210" s="2">
        <v>229.0</v>
      </c>
      <c r="C210" s="9">
        <v>45204.741013125</v>
      </c>
      <c r="D210" s="10" t="s">
        <v>827</v>
      </c>
      <c r="E210" s="11">
        <v>32294.0</v>
      </c>
      <c r="F210" s="10" t="s">
        <v>67</v>
      </c>
      <c r="G210" s="10" t="s">
        <v>828</v>
      </c>
      <c r="H210" s="10">
        <v>1.1689E9</v>
      </c>
      <c r="I210" s="10" t="s">
        <v>422</v>
      </c>
      <c r="J210" s="10" t="s">
        <v>85</v>
      </c>
      <c r="K210" s="10" t="s">
        <v>86</v>
      </c>
      <c r="L210" s="10">
        <v>70.0</v>
      </c>
      <c r="M210" s="10" t="s">
        <v>72</v>
      </c>
      <c r="N210" s="10" t="s">
        <v>73</v>
      </c>
      <c r="O210" s="10"/>
      <c r="P210" s="10" t="s">
        <v>178</v>
      </c>
      <c r="Q210" s="10"/>
      <c r="R210" s="10" t="s">
        <v>73</v>
      </c>
      <c r="S210" s="10" t="s">
        <v>73</v>
      </c>
      <c r="T210" s="10" t="s">
        <v>73</v>
      </c>
      <c r="U210" s="10" t="s">
        <v>73</v>
      </c>
      <c r="V210" s="10"/>
      <c r="W210" s="10"/>
      <c r="X210" s="10"/>
      <c r="Y210" s="10" t="s">
        <v>73</v>
      </c>
      <c r="Z210" s="10"/>
      <c r="AA210" s="10" t="s">
        <v>73</v>
      </c>
      <c r="AB210" s="12"/>
      <c r="AC210" s="10" t="s">
        <v>77</v>
      </c>
      <c r="AD210" s="10" t="s">
        <v>94</v>
      </c>
      <c r="AE210" s="13" t="s">
        <v>138</v>
      </c>
      <c r="AF210" s="6" t="s">
        <v>187</v>
      </c>
      <c r="AG210" s="10" t="s">
        <v>77</v>
      </c>
      <c r="AH210" s="10" t="s">
        <v>82</v>
      </c>
      <c r="AI210" s="10"/>
      <c r="AJ210" s="10" t="s">
        <v>829</v>
      </c>
      <c r="AK210" s="10" t="s">
        <v>812</v>
      </c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4">
        <v>45310.0</v>
      </c>
      <c r="BG210" s="7" t="s">
        <v>75</v>
      </c>
      <c r="BH210" s="7" t="s">
        <v>190</v>
      </c>
      <c r="BI210" s="15">
        <f t="shared" si="1"/>
        <v>36</v>
      </c>
      <c r="BJ210" s="15" t="str">
        <f t="shared" si="3"/>
        <v>35-55</v>
      </c>
      <c r="BK210" s="15"/>
      <c r="BL210" s="7"/>
      <c r="BM210" s="7"/>
      <c r="BN210" s="10" t="s">
        <v>187</v>
      </c>
    </row>
    <row r="211" ht="15.75" customHeight="1">
      <c r="A211" s="1">
        <v>232.0</v>
      </c>
      <c r="B211" s="2">
        <v>231.0</v>
      </c>
      <c r="C211" s="28">
        <v>45208.42111679398</v>
      </c>
      <c r="D211" s="29" t="s">
        <v>473</v>
      </c>
      <c r="E211" s="30">
        <v>32594.0</v>
      </c>
      <c r="F211" s="29" t="s">
        <v>106</v>
      </c>
      <c r="G211" s="29" t="s">
        <v>474</v>
      </c>
      <c r="H211" s="29">
        <v>1.167102946E9</v>
      </c>
      <c r="I211" s="29" t="s">
        <v>92</v>
      </c>
      <c r="J211" s="29" t="s">
        <v>109</v>
      </c>
      <c r="K211" s="29" t="s">
        <v>86</v>
      </c>
      <c r="L211" s="29">
        <v>70.0</v>
      </c>
      <c r="M211" s="29">
        <v>1.77</v>
      </c>
      <c r="N211" s="29" t="s">
        <v>73</v>
      </c>
      <c r="O211" s="29"/>
      <c r="P211" s="29" t="s">
        <v>178</v>
      </c>
      <c r="Q211" s="29"/>
      <c r="R211" s="29" t="s">
        <v>73</v>
      </c>
      <c r="S211" s="29" t="s">
        <v>73</v>
      </c>
      <c r="T211" s="29" t="s">
        <v>73</v>
      </c>
      <c r="U211" s="29" t="s">
        <v>73</v>
      </c>
      <c r="V211" s="29"/>
      <c r="W211" s="29"/>
      <c r="X211" s="29"/>
      <c r="Y211" s="29"/>
      <c r="Z211" s="29"/>
      <c r="AA211" s="29"/>
      <c r="AB211" s="31"/>
      <c r="AC211" s="29"/>
      <c r="AD211" s="29"/>
      <c r="AE211" s="29"/>
      <c r="AF211" s="6" t="s">
        <v>187</v>
      </c>
      <c r="AG211" s="29"/>
      <c r="AH211" s="29"/>
      <c r="AI211" s="29"/>
      <c r="AJ211" s="29" t="s">
        <v>829</v>
      </c>
      <c r="AK211" s="29" t="s">
        <v>826</v>
      </c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14">
        <v>45657.0</v>
      </c>
      <c r="BG211" s="7" t="s">
        <v>73</v>
      </c>
      <c r="BH211" s="7"/>
      <c r="BI211" s="15">
        <f t="shared" si="1"/>
        <v>35</v>
      </c>
      <c r="BJ211" s="15" t="str">
        <f t="shared" si="3"/>
        <v>18-35</v>
      </c>
      <c r="BK211" s="15"/>
      <c r="BL211" s="7"/>
      <c r="BM211" s="7"/>
      <c r="BN211" s="29" t="s">
        <v>187</v>
      </c>
    </row>
    <row r="212" ht="15.75" customHeight="1">
      <c r="A212" s="1">
        <v>233.0</v>
      </c>
      <c r="B212" s="2">
        <v>232.0</v>
      </c>
      <c r="C212" s="32">
        <v>45208.740427303244</v>
      </c>
      <c r="D212" s="33" t="s">
        <v>830</v>
      </c>
      <c r="E212" s="34">
        <v>27503.0</v>
      </c>
      <c r="F212" s="33" t="s">
        <v>67</v>
      </c>
      <c r="G212" s="33" t="s">
        <v>831</v>
      </c>
      <c r="H212" s="33">
        <v>1.156970694E9</v>
      </c>
      <c r="I212" s="33" t="s">
        <v>92</v>
      </c>
      <c r="J212" s="33" t="s">
        <v>85</v>
      </c>
      <c r="K212" s="33" t="s">
        <v>86</v>
      </c>
      <c r="L212" s="33">
        <v>63.0</v>
      </c>
      <c r="M212" s="33" t="s">
        <v>87</v>
      </c>
      <c r="N212" s="33" t="s">
        <v>73</v>
      </c>
      <c r="O212" s="33"/>
      <c r="P212" s="33" t="s">
        <v>329</v>
      </c>
      <c r="Q212" s="33"/>
      <c r="R212" s="33" t="s">
        <v>73</v>
      </c>
      <c r="S212" s="33" t="s">
        <v>73</v>
      </c>
      <c r="T212" s="33" t="s">
        <v>73</v>
      </c>
      <c r="U212" s="33" t="s">
        <v>73</v>
      </c>
      <c r="V212" s="33"/>
      <c r="W212" s="33"/>
      <c r="X212" s="33"/>
      <c r="Y212" s="33"/>
      <c r="Z212" s="33"/>
      <c r="AA212" s="33"/>
      <c r="AB212" s="35"/>
      <c r="AC212" s="33"/>
      <c r="AD212" s="33"/>
      <c r="AE212" s="33"/>
      <c r="AF212" s="6" t="s">
        <v>80</v>
      </c>
      <c r="AG212" s="33"/>
      <c r="AH212" s="33"/>
      <c r="AI212" s="33"/>
      <c r="AJ212" s="33" t="s">
        <v>829</v>
      </c>
      <c r="AK212" s="33" t="s">
        <v>826</v>
      </c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14">
        <v>45657.0</v>
      </c>
      <c r="BG212" s="7" t="s">
        <v>73</v>
      </c>
      <c r="BH212" s="7"/>
      <c r="BI212" s="15">
        <f t="shared" si="1"/>
        <v>49</v>
      </c>
      <c r="BJ212" s="15" t="str">
        <f t="shared" si="3"/>
        <v>35-55</v>
      </c>
      <c r="BK212" s="15"/>
      <c r="BL212" s="7"/>
      <c r="BM212" s="7"/>
      <c r="BN212" s="33" t="s">
        <v>80</v>
      </c>
    </row>
    <row r="213" ht="15.75" customHeight="1">
      <c r="A213" s="1">
        <v>234.0</v>
      </c>
      <c r="B213" s="2">
        <v>233.0</v>
      </c>
      <c r="C213" s="28">
        <v>45208.772591967594</v>
      </c>
      <c r="D213" s="29" t="s">
        <v>832</v>
      </c>
      <c r="E213" s="30">
        <v>32418.0</v>
      </c>
      <c r="F213" s="29" t="s">
        <v>67</v>
      </c>
      <c r="G213" s="29" t="s">
        <v>833</v>
      </c>
      <c r="H213" s="29">
        <v>5.492983573694E12</v>
      </c>
      <c r="I213" s="29" t="s">
        <v>449</v>
      </c>
      <c r="J213" s="29" t="s">
        <v>146</v>
      </c>
      <c r="K213" s="29" t="s">
        <v>71</v>
      </c>
      <c r="L213" s="29">
        <v>65.0</v>
      </c>
      <c r="M213" s="29">
        <v>1.7</v>
      </c>
      <c r="N213" s="29" t="s">
        <v>73</v>
      </c>
      <c r="O213" s="29"/>
      <c r="P213" s="29" t="s">
        <v>178</v>
      </c>
      <c r="Q213" s="29"/>
      <c r="R213" s="29" t="s">
        <v>75</v>
      </c>
      <c r="S213" s="29" t="s">
        <v>73</v>
      </c>
      <c r="T213" s="29" t="s">
        <v>73</v>
      </c>
      <c r="U213" s="29" t="s">
        <v>75</v>
      </c>
      <c r="V213" s="29" t="s">
        <v>592</v>
      </c>
      <c r="W213" s="29" t="s">
        <v>834</v>
      </c>
      <c r="X213" s="29"/>
      <c r="Y213" s="29"/>
      <c r="Z213" s="29"/>
      <c r="AA213" s="29"/>
      <c r="AB213" s="31"/>
      <c r="AC213" s="29"/>
      <c r="AD213" s="29"/>
      <c r="AE213" s="29"/>
      <c r="AF213" s="6" t="s">
        <v>80</v>
      </c>
      <c r="AG213" s="29"/>
      <c r="AH213" s="29"/>
      <c r="AI213" s="29"/>
      <c r="AJ213" s="29"/>
      <c r="AK213" s="29" t="s">
        <v>835</v>
      </c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14">
        <v>45657.0</v>
      </c>
      <c r="BG213" s="7" t="s">
        <v>73</v>
      </c>
      <c r="BH213" s="7"/>
      <c r="BI213" s="15">
        <f t="shared" si="1"/>
        <v>36</v>
      </c>
      <c r="BJ213" s="15" t="str">
        <f t="shared" si="3"/>
        <v>35-55</v>
      </c>
      <c r="BK213" s="15"/>
      <c r="BL213" s="7"/>
      <c r="BM213" s="7"/>
      <c r="BN213" s="29" t="s">
        <v>80</v>
      </c>
    </row>
    <row r="214" ht="15.75" customHeight="1">
      <c r="A214" s="1">
        <v>235.0</v>
      </c>
      <c r="B214" s="2">
        <v>234.0</v>
      </c>
      <c r="C214" s="28">
        <v>45208.87951328704</v>
      </c>
      <c r="D214" s="29" t="s">
        <v>836</v>
      </c>
      <c r="E214" s="30">
        <v>36930.0</v>
      </c>
      <c r="F214" s="29" t="s">
        <v>67</v>
      </c>
      <c r="G214" s="29" t="s">
        <v>837</v>
      </c>
      <c r="H214" s="29">
        <v>3.444445501E9</v>
      </c>
      <c r="I214" s="29" t="s">
        <v>92</v>
      </c>
      <c r="J214" s="29" t="s">
        <v>85</v>
      </c>
      <c r="K214" s="29" t="s">
        <v>71</v>
      </c>
      <c r="L214" s="29">
        <v>48.0</v>
      </c>
      <c r="M214" s="29" t="s">
        <v>232</v>
      </c>
      <c r="N214" s="29" t="s">
        <v>73</v>
      </c>
      <c r="O214" s="29"/>
      <c r="P214" s="29" t="s">
        <v>178</v>
      </c>
      <c r="Q214" s="29"/>
      <c r="R214" s="29" t="s">
        <v>75</v>
      </c>
      <c r="S214" s="29" t="s">
        <v>75</v>
      </c>
      <c r="T214" s="29" t="s">
        <v>73</v>
      </c>
      <c r="U214" s="29" t="s">
        <v>73</v>
      </c>
      <c r="V214" s="29"/>
      <c r="W214" s="29"/>
      <c r="X214" s="29"/>
      <c r="Y214" s="29"/>
      <c r="Z214" s="29"/>
      <c r="AA214" s="29"/>
      <c r="AB214" s="31"/>
      <c r="AC214" s="29"/>
      <c r="AD214" s="29"/>
      <c r="AE214" s="29"/>
      <c r="AF214" s="6" t="s">
        <v>187</v>
      </c>
      <c r="AG214" s="29"/>
      <c r="AH214" s="29"/>
      <c r="AI214" s="29"/>
      <c r="AJ214" s="29"/>
      <c r="AK214" s="29" t="s">
        <v>838</v>
      </c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14">
        <v>45657.0</v>
      </c>
      <c r="BG214" s="7" t="s">
        <v>73</v>
      </c>
      <c r="BH214" s="7"/>
      <c r="BI214" s="15">
        <f t="shared" si="1"/>
        <v>23</v>
      </c>
      <c r="BJ214" s="15" t="str">
        <f t="shared" si="3"/>
        <v>18-35</v>
      </c>
      <c r="BK214" s="15"/>
      <c r="BL214" s="7"/>
      <c r="BM214" s="7"/>
      <c r="BN214" s="29" t="s">
        <v>187</v>
      </c>
    </row>
    <row r="215" ht="15.75" customHeight="1">
      <c r="A215" s="1">
        <v>236.0</v>
      </c>
      <c r="B215" s="66">
        <v>235.0</v>
      </c>
      <c r="C215" s="67">
        <v>45209.679247685184</v>
      </c>
      <c r="D215" s="42" t="s">
        <v>839</v>
      </c>
      <c r="E215" s="68">
        <v>36859.0</v>
      </c>
      <c r="F215" s="42" t="s">
        <v>67</v>
      </c>
      <c r="G215" s="42" t="s">
        <v>840</v>
      </c>
      <c r="H215" s="42">
        <v>1.138728263E9</v>
      </c>
      <c r="I215" s="42" t="s">
        <v>841</v>
      </c>
      <c r="J215" s="42" t="s">
        <v>85</v>
      </c>
      <c r="K215" s="42" t="s">
        <v>86</v>
      </c>
      <c r="L215" s="42">
        <v>68.0</v>
      </c>
      <c r="M215" s="42" t="s">
        <v>271</v>
      </c>
      <c r="N215" s="42" t="s">
        <v>73</v>
      </c>
      <c r="O215" s="42"/>
      <c r="P215" s="42" t="s">
        <v>178</v>
      </c>
      <c r="Q215" s="42"/>
      <c r="R215" s="42" t="s">
        <v>73</v>
      </c>
      <c r="S215" s="42" t="s">
        <v>73</v>
      </c>
      <c r="T215" s="42" t="s">
        <v>73</v>
      </c>
      <c r="U215" s="42" t="s">
        <v>73</v>
      </c>
      <c r="V215" s="42"/>
      <c r="W215" s="42"/>
      <c r="X215" s="42"/>
      <c r="Y215" s="42"/>
      <c r="Z215" s="42"/>
      <c r="AA215" s="42"/>
      <c r="AB215" s="69"/>
      <c r="AC215" s="42"/>
      <c r="AD215" s="42"/>
      <c r="AE215" s="42"/>
      <c r="AF215" s="6" t="s">
        <v>80</v>
      </c>
      <c r="AG215" s="42"/>
      <c r="AH215" s="42"/>
      <c r="AI215" s="42"/>
      <c r="AJ215" s="42"/>
      <c r="AK215" s="42" t="s">
        <v>835</v>
      </c>
      <c r="AL215" s="42"/>
      <c r="AM215" s="42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14">
        <v>45657.0</v>
      </c>
      <c r="BG215" s="7" t="s">
        <v>73</v>
      </c>
      <c r="BH215" s="7" t="s">
        <v>190</v>
      </c>
      <c r="BI215" s="15">
        <f t="shared" si="1"/>
        <v>24</v>
      </c>
      <c r="BJ215" s="15" t="str">
        <f t="shared" si="3"/>
        <v>18-35</v>
      </c>
      <c r="BK215" s="15"/>
      <c r="BL215" s="7"/>
      <c r="BM215" s="7"/>
      <c r="BN215" s="29" t="s">
        <v>80</v>
      </c>
    </row>
    <row r="216" ht="15.75" customHeight="1">
      <c r="A216" s="1">
        <v>237.0</v>
      </c>
      <c r="B216" s="2">
        <v>236.0</v>
      </c>
      <c r="C216" s="9">
        <v>45209.71617842592</v>
      </c>
      <c r="D216" s="10" t="s">
        <v>842</v>
      </c>
      <c r="E216" s="11">
        <v>28007.0</v>
      </c>
      <c r="F216" s="10" t="s">
        <v>106</v>
      </c>
      <c r="G216" s="10" t="s">
        <v>843</v>
      </c>
      <c r="H216" s="10">
        <v>1.131065818E9</v>
      </c>
      <c r="I216" s="10" t="s">
        <v>92</v>
      </c>
      <c r="J216" s="10" t="s">
        <v>70</v>
      </c>
      <c r="K216" s="10" t="s">
        <v>71</v>
      </c>
      <c r="L216" s="10">
        <v>88.0</v>
      </c>
      <c r="M216" s="10">
        <v>1.83</v>
      </c>
      <c r="N216" s="10" t="s">
        <v>73</v>
      </c>
      <c r="O216" s="10"/>
      <c r="P216" s="10" t="s">
        <v>74</v>
      </c>
      <c r="Q216" s="10"/>
      <c r="R216" s="10" t="s">
        <v>73</v>
      </c>
      <c r="S216" s="10" t="s">
        <v>73</v>
      </c>
      <c r="T216" s="10" t="s">
        <v>73</v>
      </c>
      <c r="U216" s="10" t="s">
        <v>73</v>
      </c>
      <c r="V216" s="10"/>
      <c r="W216" s="10"/>
      <c r="X216" s="10"/>
      <c r="Y216" s="10" t="s">
        <v>73</v>
      </c>
      <c r="Z216" s="10"/>
      <c r="AA216" s="10" t="s">
        <v>73</v>
      </c>
      <c r="AB216" s="12"/>
      <c r="AC216" s="10" t="s">
        <v>77</v>
      </c>
      <c r="AD216" s="10" t="s">
        <v>94</v>
      </c>
      <c r="AE216" s="13" t="s">
        <v>138</v>
      </c>
      <c r="AF216" s="6" t="s">
        <v>80</v>
      </c>
      <c r="AG216" s="10" t="s">
        <v>77</v>
      </c>
      <c r="AH216" s="10"/>
      <c r="AI216" s="10"/>
      <c r="AJ216" s="10"/>
      <c r="AK216" s="10" t="s">
        <v>838</v>
      </c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4">
        <v>45313.0</v>
      </c>
      <c r="BG216" s="7" t="s">
        <v>75</v>
      </c>
      <c r="BH216" s="7" t="s">
        <v>190</v>
      </c>
      <c r="BI216" s="15">
        <f t="shared" si="1"/>
        <v>48</v>
      </c>
      <c r="BJ216" s="15" t="str">
        <f t="shared" si="3"/>
        <v>35-55</v>
      </c>
      <c r="BK216" s="15"/>
      <c r="BL216" s="7"/>
      <c r="BM216" s="7"/>
      <c r="BN216" s="10" t="s">
        <v>80</v>
      </c>
    </row>
    <row r="217" ht="15.75" customHeight="1">
      <c r="A217" s="1">
        <v>238.0</v>
      </c>
      <c r="B217" s="2">
        <v>237.0</v>
      </c>
      <c r="C217" s="17">
        <v>45211.85359625</v>
      </c>
      <c r="D217" s="18" t="s">
        <v>844</v>
      </c>
      <c r="E217" s="19">
        <v>29343.0</v>
      </c>
      <c r="F217" s="18" t="s">
        <v>67</v>
      </c>
      <c r="G217" s="18" t="s">
        <v>845</v>
      </c>
      <c r="H217" s="18">
        <v>1.160277161E9</v>
      </c>
      <c r="I217" s="18" t="s">
        <v>92</v>
      </c>
      <c r="J217" s="18" t="s">
        <v>85</v>
      </c>
      <c r="K217" s="18" t="s">
        <v>166</v>
      </c>
      <c r="L217" s="18">
        <v>109.0</v>
      </c>
      <c r="M217" s="18" t="s">
        <v>147</v>
      </c>
      <c r="N217" s="18" t="s">
        <v>73</v>
      </c>
      <c r="O217" s="18"/>
      <c r="P217" s="18" t="s">
        <v>74</v>
      </c>
      <c r="Q217" s="18"/>
      <c r="R217" s="18" t="s">
        <v>73</v>
      </c>
      <c r="S217" s="18" t="s">
        <v>73</v>
      </c>
      <c r="T217" s="18" t="s">
        <v>73</v>
      </c>
      <c r="U217" s="18" t="s">
        <v>73</v>
      </c>
      <c r="V217" s="18"/>
      <c r="W217" s="18"/>
      <c r="X217" s="18"/>
      <c r="Y217" s="18"/>
      <c r="Z217" s="18"/>
      <c r="AA217" s="18"/>
      <c r="AB217" s="20"/>
      <c r="AC217" s="18"/>
      <c r="AD217" s="18"/>
      <c r="AE217" s="18"/>
      <c r="AF217" s="6" t="s">
        <v>80</v>
      </c>
      <c r="AG217" s="18"/>
      <c r="AH217" s="18"/>
      <c r="AI217" s="18"/>
      <c r="AJ217" s="18"/>
      <c r="AK217" s="18" t="s">
        <v>846</v>
      </c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4">
        <v>45657.0</v>
      </c>
      <c r="BG217" s="7" t="s">
        <v>73</v>
      </c>
      <c r="BH217" s="7"/>
      <c r="BI217" s="15">
        <f t="shared" si="1"/>
        <v>44</v>
      </c>
      <c r="BJ217" s="15" t="str">
        <f t="shared" si="3"/>
        <v>35-55</v>
      </c>
      <c r="BK217" s="15"/>
      <c r="BL217" s="7"/>
      <c r="BM217" s="7"/>
      <c r="BN217" s="18" t="s">
        <v>80</v>
      </c>
    </row>
    <row r="218" ht="15.75" customHeight="1">
      <c r="A218" s="1">
        <v>239.0</v>
      </c>
      <c r="B218" s="2">
        <v>238.0</v>
      </c>
      <c r="C218" s="28">
        <v>45211.853807974534</v>
      </c>
      <c r="D218" s="29" t="s">
        <v>847</v>
      </c>
      <c r="E218" s="30">
        <v>30267.0</v>
      </c>
      <c r="F218" s="29" t="s">
        <v>67</v>
      </c>
      <c r="G218" s="29" t="s">
        <v>848</v>
      </c>
      <c r="H218" s="29">
        <v>1.161351986E9</v>
      </c>
      <c r="I218" s="29" t="s">
        <v>449</v>
      </c>
      <c r="J218" s="29" t="s">
        <v>85</v>
      </c>
      <c r="K218" s="29" t="s">
        <v>86</v>
      </c>
      <c r="L218" s="29">
        <v>40.0</v>
      </c>
      <c r="M218" s="29" t="s">
        <v>703</v>
      </c>
      <c r="N218" s="29" t="s">
        <v>73</v>
      </c>
      <c r="O218" s="29"/>
      <c r="P218" s="29" t="s">
        <v>178</v>
      </c>
      <c r="Q218" s="29"/>
      <c r="R218" s="29" t="s">
        <v>75</v>
      </c>
      <c r="S218" s="29" t="s">
        <v>73</v>
      </c>
      <c r="T218" s="29" t="s">
        <v>73</v>
      </c>
      <c r="U218" s="29" t="s">
        <v>73</v>
      </c>
      <c r="V218" s="29"/>
      <c r="W218" s="29"/>
      <c r="X218" s="29"/>
      <c r="Y218" s="29"/>
      <c r="Z218" s="29"/>
      <c r="AA218" s="29"/>
      <c r="AB218" s="31"/>
      <c r="AC218" s="29"/>
      <c r="AD218" s="29"/>
      <c r="AE218" s="29"/>
      <c r="AF218" s="6" t="s">
        <v>151</v>
      </c>
      <c r="AG218" s="29"/>
      <c r="AH218" s="29"/>
      <c r="AI218" s="29"/>
      <c r="AJ218" s="29"/>
      <c r="AK218" s="29" t="s">
        <v>835</v>
      </c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14">
        <v>45657.0</v>
      </c>
      <c r="BG218" s="7" t="s">
        <v>73</v>
      </c>
      <c r="BH218" s="7"/>
      <c r="BI218" s="15">
        <f t="shared" si="1"/>
        <v>42</v>
      </c>
      <c r="BJ218" s="15" t="str">
        <f t="shared" si="3"/>
        <v>35-55</v>
      </c>
      <c r="BK218" s="15"/>
      <c r="BL218" s="7"/>
      <c r="BM218" s="7"/>
      <c r="BN218" s="29" t="s">
        <v>151</v>
      </c>
    </row>
    <row r="219" ht="15.75" customHeight="1">
      <c r="A219" s="1">
        <v>240.0</v>
      </c>
      <c r="B219" s="2">
        <v>239.0</v>
      </c>
      <c r="C219" s="17">
        <v>45212.40839976852</v>
      </c>
      <c r="D219" s="18" t="s">
        <v>849</v>
      </c>
      <c r="E219" s="19">
        <v>28277.0</v>
      </c>
      <c r="F219" s="18" t="s">
        <v>67</v>
      </c>
      <c r="G219" s="18" t="s">
        <v>850</v>
      </c>
      <c r="H219" s="18">
        <v>1.15525363E9</v>
      </c>
      <c r="I219" s="18" t="s">
        <v>92</v>
      </c>
      <c r="J219" s="18" t="s">
        <v>85</v>
      </c>
      <c r="K219" s="18" t="s">
        <v>86</v>
      </c>
      <c r="L219" s="18">
        <v>53.0</v>
      </c>
      <c r="M219" s="18" t="s">
        <v>487</v>
      </c>
      <c r="N219" s="18" t="s">
        <v>73</v>
      </c>
      <c r="O219" s="18"/>
      <c r="P219" s="18" t="s">
        <v>74</v>
      </c>
      <c r="Q219" s="18"/>
      <c r="R219" s="18" t="s">
        <v>73</v>
      </c>
      <c r="S219" s="18" t="s">
        <v>73</v>
      </c>
      <c r="T219" s="18" t="s">
        <v>73</v>
      </c>
      <c r="U219" s="18" t="s">
        <v>73</v>
      </c>
      <c r="V219" s="18"/>
      <c r="W219" s="18"/>
      <c r="X219" s="18"/>
      <c r="Y219" s="18"/>
      <c r="Z219" s="18"/>
      <c r="AA219" s="18"/>
      <c r="AB219" s="20"/>
      <c r="AC219" s="18"/>
      <c r="AD219" s="18"/>
      <c r="AE219" s="18"/>
      <c r="AF219" s="6" t="s">
        <v>80</v>
      </c>
      <c r="AG219" s="18"/>
      <c r="AH219" s="18"/>
      <c r="AI219" s="18"/>
      <c r="AJ219" s="18"/>
      <c r="AK219" s="18" t="s">
        <v>846</v>
      </c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4">
        <v>45657.0</v>
      </c>
      <c r="BG219" s="7" t="s">
        <v>73</v>
      </c>
      <c r="BH219" s="7"/>
      <c r="BI219" s="15">
        <f t="shared" si="1"/>
        <v>47</v>
      </c>
      <c r="BJ219" s="15" t="str">
        <f t="shared" si="3"/>
        <v>35-55</v>
      </c>
      <c r="BK219" s="15"/>
      <c r="BL219" s="7"/>
      <c r="BM219" s="7"/>
      <c r="BN219" s="18" t="s">
        <v>80</v>
      </c>
    </row>
    <row r="220" ht="16.5" customHeight="1">
      <c r="A220" s="1">
        <v>241.0</v>
      </c>
      <c r="B220" s="2">
        <v>240.0</v>
      </c>
      <c r="C220" s="28">
        <v>45212.40998430556</v>
      </c>
      <c r="D220" s="29" t="s">
        <v>851</v>
      </c>
      <c r="E220" s="30">
        <v>40533.0</v>
      </c>
      <c r="F220" s="29" t="s">
        <v>106</v>
      </c>
      <c r="G220" s="29" t="s">
        <v>850</v>
      </c>
      <c r="H220" s="29">
        <v>1.15525363E9</v>
      </c>
      <c r="I220" s="29" t="s">
        <v>92</v>
      </c>
      <c r="J220" s="29" t="s">
        <v>109</v>
      </c>
      <c r="K220" s="29" t="s">
        <v>71</v>
      </c>
      <c r="L220" s="29">
        <v>45.0</v>
      </c>
      <c r="M220" s="29" t="s">
        <v>177</v>
      </c>
      <c r="N220" s="29" t="s">
        <v>73</v>
      </c>
      <c r="O220" s="29"/>
      <c r="P220" s="29" t="s">
        <v>178</v>
      </c>
      <c r="Q220" s="29"/>
      <c r="R220" s="29" t="s">
        <v>73</v>
      </c>
      <c r="S220" s="29" t="s">
        <v>73</v>
      </c>
      <c r="T220" s="29" t="s">
        <v>73</v>
      </c>
      <c r="U220" s="29" t="s">
        <v>73</v>
      </c>
      <c r="V220" s="29"/>
      <c r="W220" s="29"/>
      <c r="X220" s="29"/>
      <c r="Y220" s="29"/>
      <c r="Z220" s="29"/>
      <c r="AA220" s="29"/>
      <c r="AB220" s="31"/>
      <c r="AC220" s="29"/>
      <c r="AD220" s="29"/>
      <c r="AE220" s="29"/>
      <c r="AF220" s="6" t="s">
        <v>80</v>
      </c>
      <c r="AG220" s="29"/>
      <c r="AH220" s="29"/>
      <c r="AI220" s="29"/>
      <c r="AJ220" s="29"/>
      <c r="AK220" s="29" t="s">
        <v>846</v>
      </c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14">
        <v>45657.0</v>
      </c>
      <c r="BG220" s="7" t="s">
        <v>73</v>
      </c>
      <c r="BH220" s="7"/>
      <c r="BI220" s="15">
        <f t="shared" si="1"/>
        <v>14</v>
      </c>
      <c r="BJ220" s="15" t="str">
        <f t="shared" si="3"/>
        <v>18-35</v>
      </c>
      <c r="BK220" s="15"/>
      <c r="BL220" s="7"/>
      <c r="BM220" s="7"/>
      <c r="BN220" s="29" t="s">
        <v>80</v>
      </c>
    </row>
    <row r="221" ht="15.75" customHeight="1">
      <c r="A221" s="1">
        <v>242.0</v>
      </c>
      <c r="B221" s="2">
        <v>241.0</v>
      </c>
      <c r="C221" s="37">
        <v>45217.921639293985</v>
      </c>
      <c r="D221" s="38" t="s">
        <v>852</v>
      </c>
      <c r="E221" s="39">
        <v>25093.0</v>
      </c>
      <c r="F221" s="38" t="s">
        <v>67</v>
      </c>
      <c r="G221" s="38" t="s">
        <v>853</v>
      </c>
      <c r="H221" s="38">
        <v>3.425525036E9</v>
      </c>
      <c r="I221" s="38" t="s">
        <v>92</v>
      </c>
      <c r="J221" s="38" t="s">
        <v>85</v>
      </c>
      <c r="K221" s="38" t="s">
        <v>166</v>
      </c>
      <c r="L221" s="38">
        <v>65.0</v>
      </c>
      <c r="M221" s="38" t="s">
        <v>241</v>
      </c>
      <c r="N221" s="38" t="s">
        <v>75</v>
      </c>
      <c r="O221" s="38" t="s">
        <v>854</v>
      </c>
      <c r="P221" s="38" t="s">
        <v>210</v>
      </c>
      <c r="Q221" s="38" t="s">
        <v>855</v>
      </c>
      <c r="R221" s="38" t="s">
        <v>75</v>
      </c>
      <c r="S221" s="38" t="s">
        <v>73</v>
      </c>
      <c r="T221" s="38" t="s">
        <v>73</v>
      </c>
      <c r="U221" s="38" t="s">
        <v>73</v>
      </c>
      <c r="V221" s="38"/>
      <c r="W221" s="38"/>
      <c r="X221" s="38"/>
      <c r="Y221" s="38"/>
      <c r="Z221" s="38"/>
      <c r="AA221" s="38"/>
      <c r="AB221" s="40"/>
      <c r="AC221" s="38"/>
      <c r="AD221" s="38"/>
      <c r="AE221" s="38"/>
      <c r="AF221" s="6" t="s">
        <v>811</v>
      </c>
      <c r="AG221" s="38"/>
      <c r="AH221" s="38"/>
      <c r="AI221" s="38"/>
      <c r="AJ221" s="38"/>
      <c r="AK221" s="38" t="s">
        <v>846</v>
      </c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14">
        <v>45657.0</v>
      </c>
      <c r="BG221" s="7" t="s">
        <v>73</v>
      </c>
      <c r="BH221" s="7"/>
      <c r="BI221" s="15">
        <f t="shared" si="1"/>
        <v>56</v>
      </c>
      <c r="BJ221" s="15" t="str">
        <f t="shared" si="3"/>
        <v>&gt;55</v>
      </c>
      <c r="BK221" s="15"/>
      <c r="BL221" s="7"/>
      <c r="BM221" s="7"/>
      <c r="BN221" s="38" t="s">
        <v>80</v>
      </c>
    </row>
    <row r="222" ht="15.75" customHeight="1">
      <c r="A222" s="1">
        <v>243.0</v>
      </c>
      <c r="B222" s="2">
        <v>242.0</v>
      </c>
      <c r="C222" s="17">
        <v>45217.979680578705</v>
      </c>
      <c r="D222" s="18" t="s">
        <v>856</v>
      </c>
      <c r="E222" s="19">
        <v>37077.0</v>
      </c>
      <c r="F222" s="18" t="s">
        <v>67</v>
      </c>
      <c r="G222" s="18" t="s">
        <v>857</v>
      </c>
      <c r="H222" s="18">
        <v>1.164713885E9</v>
      </c>
      <c r="I222" s="18" t="s">
        <v>92</v>
      </c>
      <c r="J222" s="18" t="s">
        <v>70</v>
      </c>
      <c r="K222" s="18" t="s">
        <v>71</v>
      </c>
      <c r="L222" s="18">
        <v>66.6</v>
      </c>
      <c r="M222" s="18" t="s">
        <v>516</v>
      </c>
      <c r="N222" s="18" t="s">
        <v>73</v>
      </c>
      <c r="O222" s="18"/>
      <c r="P222" s="18" t="s">
        <v>74</v>
      </c>
      <c r="Q222" s="18"/>
      <c r="R222" s="18" t="s">
        <v>73</v>
      </c>
      <c r="S222" s="18" t="s">
        <v>73</v>
      </c>
      <c r="T222" s="18" t="s">
        <v>73</v>
      </c>
      <c r="U222" s="18" t="s">
        <v>75</v>
      </c>
      <c r="V222" s="18" t="s">
        <v>858</v>
      </c>
      <c r="W222" s="18" t="s">
        <v>859</v>
      </c>
      <c r="X222" s="18"/>
      <c r="Y222" s="18"/>
      <c r="Z222" s="18"/>
      <c r="AA222" s="18"/>
      <c r="AB222" s="20"/>
      <c r="AC222" s="18"/>
      <c r="AD222" s="18"/>
      <c r="AE222" s="18"/>
      <c r="AF222" s="6" t="s">
        <v>187</v>
      </c>
      <c r="AG222" s="18"/>
      <c r="AH222" s="18"/>
      <c r="AI222" s="18"/>
      <c r="AJ222" s="18"/>
      <c r="AK222" s="18" t="s">
        <v>835</v>
      </c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4">
        <v>45657.0</v>
      </c>
      <c r="BG222" s="7" t="s">
        <v>73</v>
      </c>
      <c r="BH222" s="7"/>
      <c r="BI222" s="15">
        <f t="shared" si="1"/>
        <v>23</v>
      </c>
      <c r="BJ222" s="15" t="str">
        <f t="shared" si="3"/>
        <v>18-35</v>
      </c>
      <c r="BK222" s="15"/>
      <c r="BL222" s="7"/>
      <c r="BM222" s="7"/>
      <c r="BN222" s="18" t="s">
        <v>187</v>
      </c>
    </row>
    <row r="223" ht="15.75" customHeight="1">
      <c r="A223" s="1">
        <v>244.0</v>
      </c>
      <c r="B223" s="2">
        <v>243.0</v>
      </c>
      <c r="C223" s="9">
        <v>45222.87685326389</v>
      </c>
      <c r="D223" s="10" t="s">
        <v>860</v>
      </c>
      <c r="E223" s="11">
        <v>27729.0</v>
      </c>
      <c r="F223" s="10" t="s">
        <v>67</v>
      </c>
      <c r="G223" s="10" t="s">
        <v>861</v>
      </c>
      <c r="H223" s="10">
        <v>1.156690688E9</v>
      </c>
      <c r="I223" s="10" t="s">
        <v>69</v>
      </c>
      <c r="J223" s="10" t="s">
        <v>85</v>
      </c>
      <c r="K223" s="10" t="s">
        <v>86</v>
      </c>
      <c r="L223" s="10">
        <v>84.0</v>
      </c>
      <c r="M223" s="10" t="s">
        <v>565</v>
      </c>
      <c r="N223" s="10" t="s">
        <v>73</v>
      </c>
      <c r="O223" s="10"/>
      <c r="P223" s="10" t="s">
        <v>74</v>
      </c>
      <c r="Q223" s="10"/>
      <c r="R223" s="10" t="s">
        <v>75</v>
      </c>
      <c r="S223" s="10" t="s">
        <v>73</v>
      </c>
      <c r="T223" s="10" t="s">
        <v>73</v>
      </c>
      <c r="U223" s="10" t="s">
        <v>73</v>
      </c>
      <c r="V223" s="10"/>
      <c r="W223" s="10"/>
      <c r="X223" s="10"/>
      <c r="Y223" s="10" t="s">
        <v>73</v>
      </c>
      <c r="Z223" s="10"/>
      <c r="AA223" s="10" t="s">
        <v>73</v>
      </c>
      <c r="AB223" s="12"/>
      <c r="AC223" s="10" t="s">
        <v>77</v>
      </c>
      <c r="AD223" s="10" t="s">
        <v>94</v>
      </c>
      <c r="AE223" s="13" t="s">
        <v>138</v>
      </c>
      <c r="AF223" s="6" t="s">
        <v>80</v>
      </c>
      <c r="AG223" s="10" t="s">
        <v>77</v>
      </c>
      <c r="AH223" s="10" t="s">
        <v>82</v>
      </c>
      <c r="AI223" s="10"/>
      <c r="AJ223" s="10"/>
      <c r="AK223" s="10" t="s">
        <v>835</v>
      </c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4">
        <v>45316.0</v>
      </c>
      <c r="BG223" s="7" t="s">
        <v>75</v>
      </c>
      <c r="BH223" s="7" t="s">
        <v>190</v>
      </c>
      <c r="BI223" s="15">
        <f t="shared" si="1"/>
        <v>49</v>
      </c>
      <c r="BJ223" s="15" t="str">
        <f t="shared" si="3"/>
        <v>35-55</v>
      </c>
      <c r="BK223" s="15"/>
      <c r="BL223" s="7"/>
      <c r="BM223" s="7"/>
      <c r="BN223" s="10" t="s">
        <v>80</v>
      </c>
    </row>
    <row r="224" ht="15.75" customHeight="1">
      <c r="A224" s="1">
        <v>245.0</v>
      </c>
      <c r="B224" s="2">
        <v>244.0</v>
      </c>
      <c r="C224" s="17">
        <v>45222.882230347226</v>
      </c>
      <c r="D224" s="18" t="s">
        <v>862</v>
      </c>
      <c r="E224" s="19">
        <v>27717.0</v>
      </c>
      <c r="F224" s="18" t="s">
        <v>67</v>
      </c>
      <c r="G224" s="18" t="s">
        <v>863</v>
      </c>
      <c r="H224" s="18">
        <v>1.167686218E9</v>
      </c>
      <c r="I224" s="18" t="s">
        <v>92</v>
      </c>
      <c r="J224" s="18" t="s">
        <v>85</v>
      </c>
      <c r="K224" s="18" t="s">
        <v>71</v>
      </c>
      <c r="L224" s="18">
        <v>64.0</v>
      </c>
      <c r="M224" s="18" t="s">
        <v>126</v>
      </c>
      <c r="N224" s="18" t="s">
        <v>73</v>
      </c>
      <c r="O224" s="18"/>
      <c r="P224" s="18" t="s">
        <v>74</v>
      </c>
      <c r="Q224" s="18"/>
      <c r="R224" s="18" t="s">
        <v>73</v>
      </c>
      <c r="S224" s="18" t="s">
        <v>73</v>
      </c>
      <c r="T224" s="18" t="s">
        <v>73</v>
      </c>
      <c r="U224" s="18" t="s">
        <v>73</v>
      </c>
      <c r="V224" s="18" t="s">
        <v>864</v>
      </c>
      <c r="W224" s="18" t="s">
        <v>865</v>
      </c>
      <c r="X224" s="18"/>
      <c r="Y224" s="18"/>
      <c r="Z224" s="18"/>
      <c r="AA224" s="18"/>
      <c r="AB224" s="20"/>
      <c r="AC224" s="18"/>
      <c r="AD224" s="18"/>
      <c r="AE224" s="18"/>
      <c r="AF224" s="6" t="s">
        <v>151</v>
      </c>
      <c r="AG224" s="18"/>
      <c r="AH224" s="18"/>
      <c r="AI224" s="18"/>
      <c r="AJ224" s="18"/>
      <c r="AK224" s="18" t="s">
        <v>838</v>
      </c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4">
        <v>45657.0</v>
      </c>
      <c r="BG224" s="7" t="s">
        <v>73</v>
      </c>
      <c r="BH224" s="7"/>
      <c r="BI224" s="15">
        <f t="shared" si="1"/>
        <v>49</v>
      </c>
      <c r="BJ224" s="15" t="str">
        <f t="shared" si="3"/>
        <v>35-55</v>
      </c>
      <c r="BK224" s="15"/>
      <c r="BL224" s="7"/>
      <c r="BM224" s="7"/>
      <c r="BN224" s="18" t="s">
        <v>151</v>
      </c>
    </row>
    <row r="225" ht="15.75" customHeight="1">
      <c r="A225" s="1">
        <v>246.0</v>
      </c>
      <c r="B225" s="2">
        <v>245.0</v>
      </c>
      <c r="C225" s="9">
        <v>45224.73240049768</v>
      </c>
      <c r="D225" s="70" t="s">
        <v>460</v>
      </c>
      <c r="E225" s="71">
        <v>33791.0</v>
      </c>
      <c r="F225" s="70" t="s">
        <v>67</v>
      </c>
      <c r="G225" s="70" t="s">
        <v>866</v>
      </c>
      <c r="H225" s="70">
        <v>1.144278604E9</v>
      </c>
      <c r="I225" s="70" t="s">
        <v>92</v>
      </c>
      <c r="J225" s="70" t="s">
        <v>85</v>
      </c>
      <c r="K225" s="10" t="s">
        <v>86</v>
      </c>
      <c r="L225" s="70">
        <v>56.0</v>
      </c>
      <c r="M225" s="70">
        <v>1.7</v>
      </c>
      <c r="N225" s="70" t="s">
        <v>73</v>
      </c>
      <c r="O225" s="70"/>
      <c r="P225" s="70" t="s">
        <v>178</v>
      </c>
      <c r="Q225" s="70"/>
      <c r="R225" s="70" t="s">
        <v>73</v>
      </c>
      <c r="S225" s="70" t="s">
        <v>73</v>
      </c>
      <c r="T225" s="70" t="s">
        <v>73</v>
      </c>
      <c r="U225" s="70" t="s">
        <v>73</v>
      </c>
      <c r="V225" s="70"/>
      <c r="W225" s="70"/>
      <c r="X225" s="70"/>
      <c r="Y225" s="70" t="s">
        <v>73</v>
      </c>
      <c r="Z225" s="70"/>
      <c r="AA225" s="70" t="s">
        <v>75</v>
      </c>
      <c r="AB225" s="12" t="s">
        <v>76</v>
      </c>
      <c r="AC225" s="10" t="s">
        <v>95</v>
      </c>
      <c r="AD225" s="10" t="s">
        <v>78</v>
      </c>
      <c r="AE225" s="13" t="s">
        <v>113</v>
      </c>
      <c r="AF225" s="6" t="s">
        <v>80</v>
      </c>
      <c r="AG225" s="10" t="s">
        <v>95</v>
      </c>
      <c r="AH225" s="10" t="s">
        <v>77</v>
      </c>
      <c r="AI225" s="70" t="s">
        <v>867</v>
      </c>
      <c r="AJ225" s="70"/>
      <c r="AK225" s="70" t="s">
        <v>835</v>
      </c>
      <c r="AL225" s="70"/>
      <c r="AM225" s="70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14">
        <v>45657.0</v>
      </c>
      <c r="BG225" s="7" t="s">
        <v>73</v>
      </c>
      <c r="BH225" s="7" t="s">
        <v>190</v>
      </c>
      <c r="BI225" s="15">
        <f t="shared" si="1"/>
        <v>32</v>
      </c>
      <c r="BJ225" s="15" t="str">
        <f t="shared" si="3"/>
        <v>18-35</v>
      </c>
      <c r="BK225" s="15"/>
      <c r="BL225" s="72"/>
      <c r="BM225" s="72"/>
      <c r="BN225" s="70" t="s">
        <v>80</v>
      </c>
    </row>
    <row r="226" ht="15.75" customHeight="1">
      <c r="A226" s="1">
        <v>247.0</v>
      </c>
      <c r="B226" s="2">
        <v>246.0</v>
      </c>
      <c r="C226" s="9">
        <v>45224.81472753472</v>
      </c>
      <c r="D226" s="10" t="s">
        <v>868</v>
      </c>
      <c r="E226" s="11">
        <v>37955.0</v>
      </c>
      <c r="F226" s="10" t="s">
        <v>67</v>
      </c>
      <c r="G226" s="10" t="s">
        <v>869</v>
      </c>
      <c r="H226" s="10">
        <v>1.12604724E9</v>
      </c>
      <c r="I226" s="10" t="s">
        <v>92</v>
      </c>
      <c r="J226" s="10" t="s">
        <v>85</v>
      </c>
      <c r="K226" s="10" t="s">
        <v>71</v>
      </c>
      <c r="L226" s="10">
        <v>52.0</v>
      </c>
      <c r="M226" s="10" t="s">
        <v>870</v>
      </c>
      <c r="N226" s="10" t="s">
        <v>73</v>
      </c>
      <c r="O226" s="10"/>
      <c r="P226" s="10" t="s">
        <v>74</v>
      </c>
      <c r="Q226" s="10"/>
      <c r="R226" s="10" t="s">
        <v>73</v>
      </c>
      <c r="S226" s="10" t="s">
        <v>73</v>
      </c>
      <c r="T226" s="10" t="s">
        <v>73</v>
      </c>
      <c r="U226" s="10" t="s">
        <v>75</v>
      </c>
      <c r="V226" s="10" t="s">
        <v>592</v>
      </c>
      <c r="W226" s="10" t="s">
        <v>871</v>
      </c>
      <c r="X226" s="10"/>
      <c r="Y226" s="10" t="s">
        <v>73</v>
      </c>
      <c r="Z226" s="10"/>
      <c r="AA226" s="10" t="s">
        <v>73</v>
      </c>
      <c r="AB226" s="12"/>
      <c r="AC226" s="10" t="s">
        <v>77</v>
      </c>
      <c r="AD226" s="10" t="s">
        <v>78</v>
      </c>
      <c r="AE226" s="13" t="s">
        <v>131</v>
      </c>
      <c r="AF226" s="6" t="s">
        <v>80</v>
      </c>
      <c r="AG226" s="10" t="s">
        <v>77</v>
      </c>
      <c r="AH226" s="10" t="s">
        <v>82</v>
      </c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4">
        <v>45229.0</v>
      </c>
      <c r="BG226" s="7" t="s">
        <v>75</v>
      </c>
      <c r="BH226" s="7" t="s">
        <v>190</v>
      </c>
      <c r="BI226" s="15">
        <f t="shared" si="1"/>
        <v>20</v>
      </c>
      <c r="BJ226" s="15" t="str">
        <f t="shared" si="3"/>
        <v>18-35</v>
      </c>
      <c r="BK226" s="15" t="s">
        <v>75</v>
      </c>
      <c r="BL226" s="15" t="s">
        <v>75</v>
      </c>
      <c r="BM226" s="18"/>
      <c r="BN226" s="10" t="s">
        <v>80</v>
      </c>
    </row>
    <row r="227" ht="15.75" customHeight="1">
      <c r="A227" s="1">
        <v>248.0</v>
      </c>
      <c r="B227" s="2">
        <v>247.0</v>
      </c>
      <c r="C227" s="32">
        <v>45224.853588819446</v>
      </c>
      <c r="D227" s="33" t="s">
        <v>872</v>
      </c>
      <c r="E227" s="34">
        <v>29177.0</v>
      </c>
      <c r="F227" s="33" t="s">
        <v>67</v>
      </c>
      <c r="G227" s="33" t="s">
        <v>873</v>
      </c>
      <c r="H227" s="33">
        <v>1.164060114E9</v>
      </c>
      <c r="I227" s="33" t="s">
        <v>69</v>
      </c>
      <c r="J227" s="33" t="s">
        <v>109</v>
      </c>
      <c r="K227" s="33" t="s">
        <v>71</v>
      </c>
      <c r="L227" s="33">
        <v>61.0</v>
      </c>
      <c r="M227" s="33" t="s">
        <v>101</v>
      </c>
      <c r="N227" s="33" t="s">
        <v>73</v>
      </c>
      <c r="O227" s="33"/>
      <c r="P227" s="33" t="s">
        <v>329</v>
      </c>
      <c r="Q227" s="33"/>
      <c r="R227" s="33" t="s">
        <v>73</v>
      </c>
      <c r="S227" s="33" t="s">
        <v>73</v>
      </c>
      <c r="T227" s="33" t="s">
        <v>73</v>
      </c>
      <c r="U227" s="33" t="s">
        <v>73</v>
      </c>
      <c r="V227" s="33"/>
      <c r="W227" s="33"/>
      <c r="X227" s="33"/>
      <c r="Y227" s="33"/>
      <c r="Z227" s="33"/>
      <c r="AA227" s="33"/>
      <c r="AB227" s="35"/>
      <c r="AC227" s="33"/>
      <c r="AD227" s="33"/>
      <c r="AE227" s="33"/>
      <c r="AF227" s="6" t="s">
        <v>80</v>
      </c>
      <c r="AG227" s="33"/>
      <c r="AH227" s="33"/>
      <c r="AI227" s="33"/>
      <c r="AJ227" s="33"/>
      <c r="AK227" s="33" t="s">
        <v>835</v>
      </c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14">
        <v>45657.0</v>
      </c>
      <c r="BG227" s="7" t="s">
        <v>73</v>
      </c>
      <c r="BH227" s="7"/>
      <c r="BI227" s="15">
        <f t="shared" si="1"/>
        <v>45</v>
      </c>
      <c r="BJ227" s="15" t="str">
        <f t="shared" si="3"/>
        <v>35-55</v>
      </c>
      <c r="BK227" s="15"/>
      <c r="BL227" s="7"/>
      <c r="BM227" s="7"/>
      <c r="BN227" s="33" t="s">
        <v>80</v>
      </c>
    </row>
    <row r="228" ht="15.75" customHeight="1">
      <c r="A228" s="1">
        <v>249.0</v>
      </c>
      <c r="B228" s="2">
        <v>248.0</v>
      </c>
      <c r="C228" s="9">
        <v>45224.95711870371</v>
      </c>
      <c r="D228" s="10" t="s">
        <v>874</v>
      </c>
      <c r="E228" s="11">
        <v>36551.0</v>
      </c>
      <c r="F228" s="10" t="s">
        <v>106</v>
      </c>
      <c r="G228" s="10" t="s">
        <v>875</v>
      </c>
      <c r="H228" s="10">
        <v>2.954393877E9</v>
      </c>
      <c r="I228" s="10" t="s">
        <v>92</v>
      </c>
      <c r="J228" s="10" t="s">
        <v>70</v>
      </c>
      <c r="K228" s="10" t="s">
        <v>166</v>
      </c>
      <c r="L228" s="10">
        <v>83.0</v>
      </c>
      <c r="M228" s="10" t="s">
        <v>876</v>
      </c>
      <c r="N228" s="10" t="s">
        <v>73</v>
      </c>
      <c r="O228" s="10"/>
      <c r="P228" s="10" t="s">
        <v>74</v>
      </c>
      <c r="Q228" s="10"/>
      <c r="R228" s="10" t="s">
        <v>73</v>
      </c>
      <c r="S228" s="10" t="s">
        <v>73</v>
      </c>
      <c r="T228" s="10" t="s">
        <v>73</v>
      </c>
      <c r="U228" s="10" t="s">
        <v>73</v>
      </c>
      <c r="V228" s="10"/>
      <c r="W228" s="10"/>
      <c r="X228" s="10"/>
      <c r="Y228" s="10" t="s">
        <v>73</v>
      </c>
      <c r="Z228" s="10"/>
      <c r="AA228" s="10" t="s">
        <v>73</v>
      </c>
      <c r="AB228" s="12"/>
      <c r="AC228" s="10" t="s">
        <v>95</v>
      </c>
      <c r="AD228" s="10" t="s">
        <v>78</v>
      </c>
      <c r="AE228" s="13" t="s">
        <v>131</v>
      </c>
      <c r="AF228" s="6" t="s">
        <v>151</v>
      </c>
      <c r="AG228" s="10" t="s">
        <v>81</v>
      </c>
      <c r="AH228" s="10" t="s">
        <v>82</v>
      </c>
      <c r="AI228" s="10"/>
      <c r="AJ228" s="10"/>
      <c r="AK228" s="10" t="s">
        <v>835</v>
      </c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4">
        <v>45229.0</v>
      </c>
      <c r="BG228" s="7" t="s">
        <v>75</v>
      </c>
      <c r="BH228" s="7" t="s">
        <v>190</v>
      </c>
      <c r="BI228" s="15">
        <f t="shared" si="1"/>
        <v>23</v>
      </c>
      <c r="BJ228" s="15" t="str">
        <f t="shared" si="3"/>
        <v>18-35</v>
      </c>
      <c r="BK228" s="15" t="s">
        <v>75</v>
      </c>
      <c r="BL228" s="15" t="s">
        <v>75</v>
      </c>
      <c r="BM228" s="18"/>
      <c r="BN228" s="10" t="s">
        <v>151</v>
      </c>
    </row>
    <row r="229" ht="15.75" customHeight="1">
      <c r="A229" s="1">
        <v>250.0</v>
      </c>
      <c r="B229" s="2">
        <v>249.0</v>
      </c>
      <c r="C229" s="37">
        <v>45225.299773935185</v>
      </c>
      <c r="D229" s="38" t="s">
        <v>293</v>
      </c>
      <c r="E229" s="39">
        <v>33286.0</v>
      </c>
      <c r="F229" s="38" t="s">
        <v>67</v>
      </c>
      <c r="G229" s="38" t="s">
        <v>877</v>
      </c>
      <c r="H229" s="38">
        <v>1.153163357E9</v>
      </c>
      <c r="I229" s="38" t="s">
        <v>92</v>
      </c>
      <c r="J229" s="38" t="s">
        <v>109</v>
      </c>
      <c r="K229" s="38" t="s">
        <v>86</v>
      </c>
      <c r="L229" s="38">
        <v>53.0</v>
      </c>
      <c r="M229" s="38" t="s">
        <v>295</v>
      </c>
      <c r="N229" s="38" t="s">
        <v>73</v>
      </c>
      <c r="O229" s="38"/>
      <c r="P229" s="38" t="s">
        <v>878</v>
      </c>
      <c r="Q229" s="38" t="s">
        <v>879</v>
      </c>
      <c r="R229" s="38" t="s">
        <v>73</v>
      </c>
      <c r="S229" s="38" t="s">
        <v>73</v>
      </c>
      <c r="T229" s="38" t="s">
        <v>73</v>
      </c>
      <c r="U229" s="38" t="s">
        <v>73</v>
      </c>
      <c r="V229" s="38"/>
      <c r="W229" s="38"/>
      <c r="X229" s="38"/>
      <c r="Y229" s="38"/>
      <c r="Z229" s="38"/>
      <c r="AA229" s="38"/>
      <c r="AB229" s="40"/>
      <c r="AC229" s="38"/>
      <c r="AD229" s="38"/>
      <c r="AE229" s="38"/>
      <c r="AF229" s="6" t="s">
        <v>187</v>
      </c>
      <c r="AG229" s="38"/>
      <c r="AH229" s="38"/>
      <c r="AI229" s="38"/>
      <c r="AJ229" s="38"/>
      <c r="AK229" s="38" t="s">
        <v>846</v>
      </c>
      <c r="AL229" s="38"/>
      <c r="AM229" s="38"/>
      <c r="AN229" s="38"/>
      <c r="AO229" s="38"/>
      <c r="AP229" s="38"/>
      <c r="AQ229" s="38"/>
      <c r="AR229" s="38"/>
      <c r="AS229" s="38"/>
      <c r="AT229" s="38"/>
      <c r="AU229" s="38"/>
      <c r="AV229" s="38"/>
      <c r="AW229" s="38"/>
      <c r="AX229" s="38"/>
      <c r="AY229" s="38"/>
      <c r="AZ229" s="38"/>
      <c r="BA229" s="38"/>
      <c r="BB229" s="38"/>
      <c r="BC229" s="38"/>
      <c r="BD229" s="38"/>
      <c r="BE229" s="38"/>
      <c r="BF229" s="14">
        <v>45657.0</v>
      </c>
      <c r="BG229" s="7" t="s">
        <v>73</v>
      </c>
      <c r="BH229" s="7"/>
      <c r="BI229" s="15">
        <f t="shared" si="1"/>
        <v>33</v>
      </c>
      <c r="BJ229" s="15" t="str">
        <f t="shared" si="3"/>
        <v>18-35</v>
      </c>
      <c r="BK229" s="15"/>
      <c r="BL229" s="7"/>
      <c r="BM229" s="7"/>
      <c r="BN229" s="38" t="s">
        <v>187</v>
      </c>
    </row>
    <row r="230" ht="15.75" customHeight="1">
      <c r="A230" s="1">
        <v>251.0</v>
      </c>
      <c r="B230" s="2">
        <v>250.0</v>
      </c>
      <c r="C230" s="32">
        <v>45225.823380381946</v>
      </c>
      <c r="D230" s="33" t="s">
        <v>880</v>
      </c>
      <c r="E230" s="34">
        <v>34905.0</v>
      </c>
      <c r="F230" s="33" t="s">
        <v>67</v>
      </c>
      <c r="G230" s="33" t="s">
        <v>881</v>
      </c>
      <c r="H230" s="33">
        <v>1.132290344E9</v>
      </c>
      <c r="I230" s="33" t="s">
        <v>841</v>
      </c>
      <c r="J230" s="33" t="s">
        <v>109</v>
      </c>
      <c r="K230" s="33" t="s">
        <v>166</v>
      </c>
      <c r="L230" s="33">
        <v>57.0</v>
      </c>
      <c r="M230" s="33" t="s">
        <v>194</v>
      </c>
      <c r="N230" s="33" t="s">
        <v>75</v>
      </c>
      <c r="O230" s="33" t="s">
        <v>882</v>
      </c>
      <c r="P230" s="33" t="s">
        <v>329</v>
      </c>
      <c r="Q230" s="33"/>
      <c r="R230" s="33" t="s">
        <v>73</v>
      </c>
      <c r="S230" s="33" t="s">
        <v>73</v>
      </c>
      <c r="T230" s="33" t="s">
        <v>73</v>
      </c>
      <c r="U230" s="33" t="s">
        <v>75</v>
      </c>
      <c r="V230" s="33" t="s">
        <v>883</v>
      </c>
      <c r="W230" s="33" t="s">
        <v>884</v>
      </c>
      <c r="X230" s="33"/>
      <c r="Y230" s="33"/>
      <c r="Z230" s="33"/>
      <c r="AA230" s="33"/>
      <c r="AB230" s="35"/>
      <c r="AC230" s="33"/>
      <c r="AD230" s="33"/>
      <c r="AE230" s="33"/>
      <c r="AF230" s="6" t="s">
        <v>80</v>
      </c>
      <c r="AG230" s="33"/>
      <c r="AH230" s="33"/>
      <c r="AI230" s="33"/>
      <c r="AJ230" s="33"/>
      <c r="AK230" s="33" t="s">
        <v>846</v>
      </c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14">
        <v>45657.0</v>
      </c>
      <c r="BG230" s="7" t="s">
        <v>73</v>
      </c>
      <c r="BH230" s="7"/>
      <c r="BI230" s="15">
        <f t="shared" si="1"/>
        <v>29</v>
      </c>
      <c r="BJ230" s="15" t="str">
        <f t="shared" si="3"/>
        <v>18-35</v>
      </c>
      <c r="BK230" s="15"/>
      <c r="BL230" s="7"/>
      <c r="BM230" s="7"/>
      <c r="BN230" s="33" t="s">
        <v>80</v>
      </c>
    </row>
    <row r="231" ht="15.75" customHeight="1">
      <c r="A231" s="1">
        <v>252.0</v>
      </c>
      <c r="B231" s="2">
        <v>251.0</v>
      </c>
      <c r="C231" s="28">
        <v>45228.8296147338</v>
      </c>
      <c r="D231" s="29" t="s">
        <v>885</v>
      </c>
      <c r="E231" s="30">
        <v>33722.0</v>
      </c>
      <c r="F231" s="29" t="s">
        <v>67</v>
      </c>
      <c r="G231" s="29" t="s">
        <v>886</v>
      </c>
      <c r="H231" s="29">
        <v>5.49341300561E12</v>
      </c>
      <c r="I231" s="29" t="s">
        <v>92</v>
      </c>
      <c r="J231" s="29" t="s">
        <v>85</v>
      </c>
      <c r="K231" s="29" t="s">
        <v>71</v>
      </c>
      <c r="L231" s="29">
        <v>70.0</v>
      </c>
      <c r="M231" s="29" t="s">
        <v>271</v>
      </c>
      <c r="N231" s="29" t="s">
        <v>73</v>
      </c>
      <c r="O231" s="29"/>
      <c r="P231" s="29" t="s">
        <v>178</v>
      </c>
      <c r="Q231" s="29"/>
      <c r="R231" s="29" t="s">
        <v>73</v>
      </c>
      <c r="S231" s="29" t="s">
        <v>73</v>
      </c>
      <c r="T231" s="29" t="s">
        <v>73</v>
      </c>
      <c r="U231" s="29" t="s">
        <v>75</v>
      </c>
      <c r="V231" s="29" t="s">
        <v>887</v>
      </c>
      <c r="W231" s="29" t="s">
        <v>888</v>
      </c>
      <c r="X231" s="29"/>
      <c r="Y231" s="29"/>
      <c r="Z231" s="29"/>
      <c r="AA231" s="29"/>
      <c r="AB231" s="31"/>
      <c r="AC231" s="29"/>
      <c r="AD231" s="29"/>
      <c r="AE231" s="29"/>
      <c r="AF231" s="6" t="s">
        <v>80</v>
      </c>
      <c r="AG231" s="29"/>
      <c r="AH231" s="29"/>
      <c r="AI231" s="29"/>
      <c r="AJ231" s="29"/>
      <c r="AK231" s="29" t="s">
        <v>846</v>
      </c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14">
        <v>45657.0</v>
      </c>
      <c r="BG231" s="7" t="s">
        <v>73</v>
      </c>
      <c r="BH231" s="7"/>
      <c r="BI231" s="15">
        <f t="shared" si="1"/>
        <v>32</v>
      </c>
      <c r="BJ231" s="15" t="str">
        <f t="shared" si="3"/>
        <v>18-35</v>
      </c>
      <c r="BK231" s="15"/>
      <c r="BL231" s="7"/>
      <c r="BM231" s="7"/>
      <c r="BN231" s="29" t="s">
        <v>80</v>
      </c>
    </row>
    <row r="232" ht="15.75" customHeight="1">
      <c r="A232" s="1">
        <v>253.0</v>
      </c>
      <c r="B232" s="2">
        <v>252.0</v>
      </c>
      <c r="C232" s="28">
        <v>45229.58218326389</v>
      </c>
      <c r="D232" s="29" t="s">
        <v>889</v>
      </c>
      <c r="E232" s="30">
        <v>29418.0</v>
      </c>
      <c r="F232" s="29" t="s">
        <v>67</v>
      </c>
      <c r="G232" s="29" t="s">
        <v>434</v>
      </c>
      <c r="H232" s="29">
        <v>1.164061904E9</v>
      </c>
      <c r="I232" s="29" t="s">
        <v>92</v>
      </c>
      <c r="J232" s="29" t="s">
        <v>109</v>
      </c>
      <c r="K232" s="29" t="s">
        <v>86</v>
      </c>
      <c r="L232" s="29">
        <v>46.0</v>
      </c>
      <c r="M232" s="29" t="s">
        <v>419</v>
      </c>
      <c r="N232" s="29" t="s">
        <v>73</v>
      </c>
      <c r="O232" s="29"/>
      <c r="P232" s="29" t="s">
        <v>178</v>
      </c>
      <c r="Q232" s="29"/>
      <c r="R232" s="29" t="s">
        <v>75</v>
      </c>
      <c r="S232" s="29" t="s">
        <v>73</v>
      </c>
      <c r="T232" s="29" t="s">
        <v>73</v>
      </c>
      <c r="U232" s="29" t="s">
        <v>73</v>
      </c>
      <c r="V232" s="29"/>
      <c r="W232" s="29"/>
      <c r="X232" s="29"/>
      <c r="Y232" s="29"/>
      <c r="Z232" s="29"/>
      <c r="AA232" s="29"/>
      <c r="AB232" s="31"/>
      <c r="AC232" s="29"/>
      <c r="AD232" s="29"/>
      <c r="AE232" s="29"/>
      <c r="AF232" s="6" t="s">
        <v>80</v>
      </c>
      <c r="AG232" s="29"/>
      <c r="AH232" s="29"/>
      <c r="AI232" s="29"/>
      <c r="AJ232" s="29"/>
      <c r="AK232" s="29" t="s">
        <v>846</v>
      </c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14">
        <v>45657.0</v>
      </c>
      <c r="BG232" s="7" t="s">
        <v>73</v>
      </c>
      <c r="BH232" s="7"/>
      <c r="BI232" s="15">
        <f t="shared" si="1"/>
        <v>44</v>
      </c>
      <c r="BJ232" s="15" t="str">
        <f t="shared" si="3"/>
        <v>35-55</v>
      </c>
      <c r="BK232" s="15"/>
      <c r="BL232" s="7"/>
      <c r="BM232" s="7"/>
      <c r="BN232" s="29" t="s">
        <v>80</v>
      </c>
    </row>
    <row r="233" ht="15.75" customHeight="1">
      <c r="A233" s="1">
        <v>254.0</v>
      </c>
      <c r="B233" s="2">
        <v>253.0</v>
      </c>
      <c r="C233" s="9">
        <v>45232.95964576388</v>
      </c>
      <c r="D233" s="10" t="s">
        <v>890</v>
      </c>
      <c r="E233" s="11">
        <v>31811.0</v>
      </c>
      <c r="F233" s="10" t="s">
        <v>67</v>
      </c>
      <c r="G233" s="10" t="s">
        <v>891</v>
      </c>
      <c r="H233" s="10">
        <v>1.169463513E9</v>
      </c>
      <c r="I233" s="10" t="s">
        <v>449</v>
      </c>
      <c r="J233" s="10" t="s">
        <v>85</v>
      </c>
      <c r="K233" s="10" t="s">
        <v>86</v>
      </c>
      <c r="L233" s="10">
        <v>70.0</v>
      </c>
      <c r="M233" s="10" t="s">
        <v>72</v>
      </c>
      <c r="N233" s="10" t="s">
        <v>73</v>
      </c>
      <c r="O233" s="10"/>
      <c r="P233" s="10" t="s">
        <v>74</v>
      </c>
      <c r="Q233" s="10" t="s">
        <v>892</v>
      </c>
      <c r="R233" s="10" t="s">
        <v>73</v>
      </c>
      <c r="S233" s="10" t="s">
        <v>73</v>
      </c>
      <c r="T233" s="10" t="s">
        <v>73</v>
      </c>
      <c r="U233" s="10" t="s">
        <v>73</v>
      </c>
      <c r="V233" s="10"/>
      <c r="W233" s="10"/>
      <c r="X233" s="10"/>
      <c r="Y233" s="10" t="s">
        <v>73</v>
      </c>
      <c r="Z233" s="10"/>
      <c r="AA233" s="10" t="s">
        <v>75</v>
      </c>
      <c r="AB233" s="12" t="s">
        <v>112</v>
      </c>
      <c r="AC233" s="10" t="s">
        <v>82</v>
      </c>
      <c r="AD233" s="10" t="s">
        <v>94</v>
      </c>
      <c r="AE233" s="13" t="s">
        <v>113</v>
      </c>
      <c r="AF233" s="6" t="s">
        <v>80</v>
      </c>
      <c r="AG233" s="10" t="s">
        <v>95</v>
      </c>
      <c r="AH233" s="10" t="s">
        <v>82</v>
      </c>
      <c r="AI233" s="10" t="s">
        <v>893</v>
      </c>
      <c r="AJ233" s="10"/>
      <c r="AK233" s="10" t="s">
        <v>894</v>
      </c>
      <c r="AL233" s="10" t="s">
        <v>895</v>
      </c>
      <c r="AM233" s="10"/>
      <c r="AN233" s="10" t="s">
        <v>73</v>
      </c>
      <c r="AO233" s="10"/>
      <c r="AP233" s="10"/>
      <c r="AQ233" s="10"/>
      <c r="AR233" s="10"/>
      <c r="AS233" s="10"/>
      <c r="AT233" s="10"/>
      <c r="AU233" s="10"/>
      <c r="AV233" s="10"/>
      <c r="AW233" s="10"/>
      <c r="AX233" s="10" t="s">
        <v>896</v>
      </c>
      <c r="AY233" s="10"/>
      <c r="AZ233" s="10"/>
      <c r="BA233" s="10"/>
      <c r="BB233" s="10"/>
      <c r="BC233" s="10"/>
      <c r="BD233" s="10"/>
      <c r="BE233" s="10"/>
      <c r="BF233" s="14">
        <v>45235.0</v>
      </c>
      <c r="BG233" s="7" t="s">
        <v>75</v>
      </c>
      <c r="BH233" s="7" t="s">
        <v>190</v>
      </c>
      <c r="BI233" s="15">
        <f t="shared" si="1"/>
        <v>36</v>
      </c>
      <c r="BJ233" s="15" t="str">
        <f t="shared" si="3"/>
        <v>35-55</v>
      </c>
      <c r="BK233" s="15"/>
      <c r="BL233" s="7"/>
      <c r="BM233" s="7"/>
      <c r="BN233" s="10" t="s">
        <v>80</v>
      </c>
    </row>
    <row r="234" ht="15.75" customHeight="1">
      <c r="A234" s="1">
        <v>255.0</v>
      </c>
      <c r="B234" s="2">
        <v>254.0</v>
      </c>
      <c r="C234" s="17">
        <v>45233.67600506944</v>
      </c>
      <c r="D234" s="18" t="s">
        <v>897</v>
      </c>
      <c r="E234" s="19">
        <v>34240.0</v>
      </c>
      <c r="F234" s="18" t="s">
        <v>67</v>
      </c>
      <c r="G234" s="18" t="s">
        <v>898</v>
      </c>
      <c r="H234" s="18">
        <v>1.157966763E9</v>
      </c>
      <c r="I234" s="18" t="s">
        <v>449</v>
      </c>
      <c r="J234" s="18" t="s">
        <v>85</v>
      </c>
      <c r="K234" s="18" t="s">
        <v>86</v>
      </c>
      <c r="L234" s="18">
        <v>75.0</v>
      </c>
      <c r="M234" s="18" t="s">
        <v>241</v>
      </c>
      <c r="N234" s="18" t="s">
        <v>73</v>
      </c>
      <c r="O234" s="18"/>
      <c r="P234" s="18" t="s">
        <v>74</v>
      </c>
      <c r="Q234" s="18"/>
      <c r="R234" s="18" t="s">
        <v>73</v>
      </c>
      <c r="S234" s="18" t="s">
        <v>73</v>
      </c>
      <c r="T234" s="18" t="s">
        <v>73</v>
      </c>
      <c r="U234" s="18" t="s">
        <v>75</v>
      </c>
      <c r="V234" s="18" t="s">
        <v>899</v>
      </c>
      <c r="W234" s="18"/>
      <c r="X234" s="18"/>
      <c r="Y234" s="18"/>
      <c r="Z234" s="18"/>
      <c r="AA234" s="18"/>
      <c r="AB234" s="20"/>
      <c r="AC234" s="18"/>
      <c r="AD234" s="18"/>
      <c r="AE234" s="18"/>
      <c r="AF234" s="6" t="s">
        <v>80</v>
      </c>
      <c r="AG234" s="18"/>
      <c r="AH234" s="18"/>
      <c r="AI234" s="18"/>
      <c r="AJ234" s="18"/>
      <c r="AK234" s="18" t="s">
        <v>900</v>
      </c>
      <c r="AL234" s="18" t="s">
        <v>895</v>
      </c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4">
        <v>45657.0</v>
      </c>
      <c r="BG234" s="7" t="s">
        <v>73</v>
      </c>
      <c r="BH234" s="7"/>
      <c r="BI234" s="15">
        <f t="shared" si="1"/>
        <v>31</v>
      </c>
      <c r="BJ234" s="15" t="str">
        <f t="shared" si="3"/>
        <v>18-35</v>
      </c>
      <c r="BK234" s="15"/>
      <c r="BL234" s="7"/>
      <c r="BM234" s="7"/>
      <c r="BN234" s="18" t="s">
        <v>80</v>
      </c>
    </row>
    <row r="235" ht="15.75" customHeight="1">
      <c r="A235" s="1">
        <v>256.0</v>
      </c>
      <c r="B235" s="2">
        <v>255.0</v>
      </c>
      <c r="C235" s="32">
        <v>45234.625454953704</v>
      </c>
      <c r="D235" s="33" t="s">
        <v>901</v>
      </c>
      <c r="E235" s="34">
        <v>44944.0</v>
      </c>
      <c r="F235" s="33" t="s">
        <v>67</v>
      </c>
      <c r="G235" s="33" t="s">
        <v>902</v>
      </c>
      <c r="H235" s="33">
        <v>1.164470699E9</v>
      </c>
      <c r="I235" s="33" t="s">
        <v>69</v>
      </c>
      <c r="J235" s="33" t="s">
        <v>70</v>
      </c>
      <c r="K235" s="33" t="s">
        <v>71</v>
      </c>
      <c r="L235" s="33">
        <v>67.0</v>
      </c>
      <c r="M235" s="33" t="s">
        <v>177</v>
      </c>
      <c r="N235" s="33" t="s">
        <v>73</v>
      </c>
      <c r="O235" s="33"/>
      <c r="P235" s="33" t="s">
        <v>329</v>
      </c>
      <c r="Q235" s="33"/>
      <c r="R235" s="33" t="s">
        <v>73</v>
      </c>
      <c r="S235" s="33" t="s">
        <v>73</v>
      </c>
      <c r="T235" s="33" t="s">
        <v>73</v>
      </c>
      <c r="U235" s="33" t="s">
        <v>73</v>
      </c>
      <c r="V235" s="33"/>
      <c r="W235" s="33"/>
      <c r="X235" s="33"/>
      <c r="Y235" s="33"/>
      <c r="Z235" s="33"/>
      <c r="AA235" s="33"/>
      <c r="AB235" s="35"/>
      <c r="AC235" s="33"/>
      <c r="AD235" s="33"/>
      <c r="AE235" s="33"/>
      <c r="AF235" s="6" t="s">
        <v>80</v>
      </c>
      <c r="AG235" s="33"/>
      <c r="AH235" s="33"/>
      <c r="AI235" s="33"/>
      <c r="AJ235" s="33"/>
      <c r="AK235" s="33" t="s">
        <v>903</v>
      </c>
      <c r="AL235" s="33" t="s">
        <v>895</v>
      </c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14">
        <v>45657.0</v>
      </c>
      <c r="BG235" s="7" t="s">
        <v>73</v>
      </c>
      <c r="BH235" s="7"/>
      <c r="BI235" s="15">
        <f t="shared" si="1"/>
        <v>1</v>
      </c>
      <c r="BJ235" s="15" t="str">
        <f t="shared" si="3"/>
        <v>18-35</v>
      </c>
      <c r="BK235" s="15"/>
      <c r="BL235" s="7"/>
      <c r="BM235" s="7"/>
      <c r="BN235" s="33" t="s">
        <v>80</v>
      </c>
    </row>
    <row r="236" ht="15.75" customHeight="1">
      <c r="A236" s="1">
        <v>257.0</v>
      </c>
      <c r="B236" s="2">
        <v>256.0</v>
      </c>
      <c r="C236" s="28">
        <v>45236.50393663194</v>
      </c>
      <c r="D236" s="29" t="s">
        <v>904</v>
      </c>
      <c r="E236" s="30">
        <v>35087.0</v>
      </c>
      <c r="F236" s="29" t="s">
        <v>67</v>
      </c>
      <c r="G236" s="29" t="s">
        <v>905</v>
      </c>
      <c r="H236" s="29">
        <v>1.146737107E9</v>
      </c>
      <c r="I236" s="29" t="s">
        <v>449</v>
      </c>
      <c r="J236" s="29" t="s">
        <v>85</v>
      </c>
      <c r="K236" s="29" t="s">
        <v>71</v>
      </c>
      <c r="L236" s="29">
        <v>58.0</v>
      </c>
      <c r="M236" s="29" t="s">
        <v>487</v>
      </c>
      <c r="N236" s="29" t="s">
        <v>73</v>
      </c>
      <c r="O236" s="29"/>
      <c r="P236" s="29" t="s">
        <v>178</v>
      </c>
      <c r="Q236" s="29"/>
      <c r="R236" s="29" t="s">
        <v>73</v>
      </c>
      <c r="S236" s="29" t="s">
        <v>73</v>
      </c>
      <c r="T236" s="29" t="s">
        <v>73</v>
      </c>
      <c r="U236" s="29" t="s">
        <v>73</v>
      </c>
      <c r="V236" s="29"/>
      <c r="W236" s="29"/>
      <c r="X236" s="29"/>
      <c r="Y236" s="29"/>
      <c r="Z236" s="29"/>
      <c r="AA236" s="29"/>
      <c r="AB236" s="31"/>
      <c r="AC236" s="29"/>
      <c r="AD236" s="29"/>
      <c r="AE236" s="29"/>
      <c r="AF236" s="6"/>
      <c r="AG236" s="29"/>
      <c r="AH236" s="29"/>
      <c r="AI236" s="29"/>
      <c r="AJ236" s="29"/>
      <c r="AK236" s="29" t="s">
        <v>903</v>
      </c>
      <c r="AL236" s="29" t="s">
        <v>895</v>
      </c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14">
        <v>45657.0</v>
      </c>
      <c r="BG236" s="7" t="s">
        <v>73</v>
      </c>
      <c r="BH236" s="7"/>
      <c r="BI236" s="15">
        <f t="shared" si="1"/>
        <v>28</v>
      </c>
      <c r="BJ236" s="15" t="str">
        <f t="shared" si="3"/>
        <v>18-35</v>
      </c>
      <c r="BK236" s="15"/>
      <c r="BL236" s="7"/>
      <c r="BM236" s="7"/>
      <c r="BN236" s="29"/>
    </row>
    <row r="237" ht="15.75" customHeight="1">
      <c r="A237" s="1">
        <v>258.0</v>
      </c>
      <c r="B237" s="2">
        <v>257.0</v>
      </c>
      <c r="C237" s="9">
        <v>45240.51845931713</v>
      </c>
      <c r="D237" s="10" t="s">
        <v>906</v>
      </c>
      <c r="E237" s="11">
        <v>37254.0</v>
      </c>
      <c r="F237" s="10" t="s">
        <v>67</v>
      </c>
      <c r="G237" s="10" t="s">
        <v>907</v>
      </c>
      <c r="H237" s="10">
        <v>1.164400438E9</v>
      </c>
      <c r="I237" s="10" t="s">
        <v>92</v>
      </c>
      <c r="J237" s="10" t="s">
        <v>908</v>
      </c>
      <c r="K237" s="10" t="s">
        <v>86</v>
      </c>
      <c r="L237" s="10">
        <v>42.0</v>
      </c>
      <c r="M237" s="10" t="s">
        <v>428</v>
      </c>
      <c r="N237" s="10" t="s">
        <v>73</v>
      </c>
      <c r="O237" s="10"/>
      <c r="P237" s="10" t="s">
        <v>74</v>
      </c>
      <c r="Q237" s="10"/>
      <c r="R237" s="10" t="s">
        <v>73</v>
      </c>
      <c r="S237" s="10" t="s">
        <v>73</v>
      </c>
      <c r="T237" s="10" t="s">
        <v>73</v>
      </c>
      <c r="U237" s="10" t="s">
        <v>73</v>
      </c>
      <c r="V237" s="10"/>
      <c r="W237" s="10"/>
      <c r="X237" s="10"/>
      <c r="Y237" s="10" t="s">
        <v>73</v>
      </c>
      <c r="Z237" s="10"/>
      <c r="AA237" s="10" t="s">
        <v>73</v>
      </c>
      <c r="AB237" s="12"/>
      <c r="AC237" s="10" t="s">
        <v>82</v>
      </c>
      <c r="AD237" s="10" t="s">
        <v>78</v>
      </c>
      <c r="AE237" s="13" t="s">
        <v>138</v>
      </c>
      <c r="AF237" s="6"/>
      <c r="AG237" s="10" t="s">
        <v>82</v>
      </c>
      <c r="AH237" s="10" t="s">
        <v>82</v>
      </c>
      <c r="AI237" s="10"/>
      <c r="AJ237" s="10"/>
      <c r="AK237" s="10" t="s">
        <v>903</v>
      </c>
      <c r="AL237" s="10" t="s">
        <v>895</v>
      </c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4">
        <v>45235.0</v>
      </c>
      <c r="BG237" s="7" t="s">
        <v>75</v>
      </c>
      <c r="BH237" s="7" t="s">
        <v>190</v>
      </c>
      <c r="BI237" s="15">
        <f t="shared" si="1"/>
        <v>22</v>
      </c>
      <c r="BJ237" s="15" t="str">
        <f t="shared" si="3"/>
        <v>18-35</v>
      </c>
      <c r="BK237" s="15"/>
      <c r="BL237" s="7"/>
      <c r="BM237" s="7"/>
      <c r="BN237" s="10"/>
    </row>
    <row r="238" ht="15.75" customHeight="1">
      <c r="A238" s="1">
        <v>261.0</v>
      </c>
      <c r="B238" s="2">
        <v>258.0</v>
      </c>
      <c r="C238" s="17">
        <v>45245.696120347224</v>
      </c>
      <c r="D238" s="18" t="s">
        <v>909</v>
      </c>
      <c r="E238" s="19">
        <v>28391.0</v>
      </c>
      <c r="F238" s="18" t="s">
        <v>67</v>
      </c>
      <c r="G238" s="18" t="s">
        <v>910</v>
      </c>
      <c r="H238" s="18">
        <v>5.491158465136E12</v>
      </c>
      <c r="I238" s="18" t="s">
        <v>92</v>
      </c>
      <c r="J238" s="18" t="s">
        <v>146</v>
      </c>
      <c r="K238" s="18" t="s">
        <v>86</v>
      </c>
      <c r="L238" s="18">
        <v>64.0</v>
      </c>
      <c r="M238" s="18" t="s">
        <v>487</v>
      </c>
      <c r="N238" s="18" t="s">
        <v>73</v>
      </c>
      <c r="O238" s="18"/>
      <c r="P238" s="18" t="s">
        <v>74</v>
      </c>
      <c r="Q238" s="18"/>
      <c r="R238" s="18" t="s">
        <v>73</v>
      </c>
      <c r="S238" s="18" t="s">
        <v>73</v>
      </c>
      <c r="T238" s="18" t="s">
        <v>73</v>
      </c>
      <c r="U238" s="18" t="s">
        <v>73</v>
      </c>
      <c r="V238" s="18"/>
      <c r="W238" s="18"/>
      <c r="X238" s="18"/>
      <c r="Y238" s="18" t="s">
        <v>73</v>
      </c>
      <c r="Z238" s="18"/>
      <c r="AA238" s="18" t="s">
        <v>75</v>
      </c>
      <c r="AB238" s="20" t="s">
        <v>76</v>
      </c>
      <c r="AC238" s="18" t="s">
        <v>102</v>
      </c>
      <c r="AD238" s="10" t="s">
        <v>78</v>
      </c>
      <c r="AE238" s="13" t="s">
        <v>79</v>
      </c>
      <c r="AF238" s="6" t="s">
        <v>80</v>
      </c>
      <c r="AG238" s="18" t="s">
        <v>95</v>
      </c>
      <c r="AH238" s="18" t="s">
        <v>96</v>
      </c>
      <c r="AI238" s="18" t="s">
        <v>911</v>
      </c>
      <c r="AJ238" s="18"/>
      <c r="AK238" s="18" t="s">
        <v>912</v>
      </c>
      <c r="AL238" s="18" t="s">
        <v>895</v>
      </c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4">
        <v>45657.0</v>
      </c>
      <c r="BG238" s="7" t="s">
        <v>73</v>
      </c>
      <c r="BH238" s="7"/>
      <c r="BI238" s="15">
        <f t="shared" si="1"/>
        <v>47</v>
      </c>
      <c r="BJ238" s="15" t="str">
        <f t="shared" si="3"/>
        <v>35-55</v>
      </c>
      <c r="BK238" s="15"/>
      <c r="BL238" s="7"/>
      <c r="BM238" s="7"/>
      <c r="BN238" s="18" t="s">
        <v>80</v>
      </c>
    </row>
    <row r="239" ht="15.75" customHeight="1">
      <c r="A239" s="1">
        <v>262.0</v>
      </c>
      <c r="B239" s="2">
        <v>259.0</v>
      </c>
      <c r="C239" s="9">
        <v>45245.700295092596</v>
      </c>
      <c r="D239" s="10" t="s">
        <v>913</v>
      </c>
      <c r="E239" s="11">
        <v>45012.0</v>
      </c>
      <c r="F239" s="10" t="s">
        <v>106</v>
      </c>
      <c r="G239" s="10" t="s">
        <v>914</v>
      </c>
      <c r="H239" s="10">
        <v>1.164476301E9</v>
      </c>
      <c r="I239" s="10" t="s">
        <v>449</v>
      </c>
      <c r="J239" s="10" t="s">
        <v>85</v>
      </c>
      <c r="K239" s="10" t="s">
        <v>86</v>
      </c>
      <c r="L239" s="10">
        <v>95.0</v>
      </c>
      <c r="M239" s="10">
        <v>1.83</v>
      </c>
      <c r="N239" s="10" t="s">
        <v>73</v>
      </c>
      <c r="O239" s="10"/>
      <c r="P239" s="10" t="s">
        <v>178</v>
      </c>
      <c r="Q239" s="10"/>
      <c r="R239" s="10" t="s">
        <v>73</v>
      </c>
      <c r="S239" s="10" t="s">
        <v>73</v>
      </c>
      <c r="T239" s="10" t="s">
        <v>73</v>
      </c>
      <c r="U239" s="10" t="s">
        <v>73</v>
      </c>
      <c r="V239" s="10"/>
      <c r="W239" s="10"/>
      <c r="X239" s="10"/>
      <c r="Y239" s="10" t="s">
        <v>73</v>
      </c>
      <c r="Z239" s="10"/>
      <c r="AA239" s="10" t="s">
        <v>73</v>
      </c>
      <c r="AB239" s="12"/>
      <c r="AC239" s="10" t="s">
        <v>95</v>
      </c>
      <c r="AD239" s="10" t="s">
        <v>78</v>
      </c>
      <c r="AE239" s="13" t="s">
        <v>113</v>
      </c>
      <c r="AF239" s="6" t="s">
        <v>187</v>
      </c>
      <c r="AG239" s="10" t="s">
        <v>81</v>
      </c>
      <c r="AH239" s="10" t="s">
        <v>82</v>
      </c>
      <c r="AI239" s="10"/>
      <c r="AJ239" s="10"/>
      <c r="AK239" s="10" t="s">
        <v>912</v>
      </c>
      <c r="AL239" s="10" t="s">
        <v>895</v>
      </c>
      <c r="AM239" s="10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14">
        <v>45657.0</v>
      </c>
      <c r="BG239" s="7" t="s">
        <v>73</v>
      </c>
      <c r="BH239" s="7" t="s">
        <v>190</v>
      </c>
      <c r="BI239" s="15">
        <f t="shared" si="1"/>
        <v>1</v>
      </c>
      <c r="BJ239" s="15" t="str">
        <f t="shared" si="3"/>
        <v>18-35</v>
      </c>
      <c r="BK239" s="15"/>
      <c r="BL239" s="7"/>
      <c r="BM239" s="7"/>
      <c r="BN239" s="10" t="s">
        <v>187</v>
      </c>
    </row>
    <row r="240" ht="15.75" customHeight="1">
      <c r="A240" s="1">
        <v>264.0</v>
      </c>
      <c r="B240" s="2">
        <v>261.0</v>
      </c>
      <c r="C240" s="9">
        <v>45245.70205979167</v>
      </c>
      <c r="D240" s="10" t="s">
        <v>915</v>
      </c>
      <c r="E240" s="11">
        <v>34919.0</v>
      </c>
      <c r="F240" s="10" t="s">
        <v>106</v>
      </c>
      <c r="G240" s="10" t="s">
        <v>916</v>
      </c>
      <c r="H240" s="10">
        <v>1.124597394E9</v>
      </c>
      <c r="I240" s="10" t="s">
        <v>449</v>
      </c>
      <c r="J240" s="10" t="s">
        <v>85</v>
      </c>
      <c r="K240" s="10" t="s">
        <v>86</v>
      </c>
      <c r="L240" s="10">
        <v>85.0</v>
      </c>
      <c r="M240" s="10" t="s">
        <v>917</v>
      </c>
      <c r="N240" s="10" t="s">
        <v>73</v>
      </c>
      <c r="O240" s="10"/>
      <c r="P240" s="10" t="s">
        <v>74</v>
      </c>
      <c r="Q240" s="10"/>
      <c r="R240" s="10" t="s">
        <v>73</v>
      </c>
      <c r="S240" s="10" t="s">
        <v>73</v>
      </c>
      <c r="T240" s="10" t="s">
        <v>73</v>
      </c>
      <c r="U240" s="10" t="s">
        <v>73</v>
      </c>
      <c r="V240" s="10"/>
      <c r="W240" s="10"/>
      <c r="X240" s="10"/>
      <c r="Y240" s="10" t="s">
        <v>73</v>
      </c>
      <c r="Z240" s="10"/>
      <c r="AA240" s="10" t="s">
        <v>75</v>
      </c>
      <c r="AB240" s="12" t="s">
        <v>112</v>
      </c>
      <c r="AC240" s="10" t="s">
        <v>95</v>
      </c>
      <c r="AD240" s="10" t="s">
        <v>78</v>
      </c>
      <c r="AE240" s="13" t="s">
        <v>205</v>
      </c>
      <c r="AF240" s="6" t="s">
        <v>80</v>
      </c>
      <c r="AG240" s="10" t="s">
        <v>81</v>
      </c>
      <c r="AH240" s="10" t="s">
        <v>82</v>
      </c>
      <c r="AI240" s="10"/>
      <c r="AJ240" s="10"/>
      <c r="AK240" s="10" t="s">
        <v>918</v>
      </c>
      <c r="AL240" s="10" t="s">
        <v>895</v>
      </c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4">
        <v>45229.0</v>
      </c>
      <c r="BG240" s="7" t="s">
        <v>75</v>
      </c>
      <c r="BH240" s="7" t="s">
        <v>190</v>
      </c>
      <c r="BI240" s="15">
        <f t="shared" si="1"/>
        <v>28</v>
      </c>
      <c r="BJ240" s="15" t="str">
        <f t="shared" si="3"/>
        <v>18-35</v>
      </c>
      <c r="BK240" s="15" t="s">
        <v>75</v>
      </c>
      <c r="BL240" s="15" t="s">
        <v>75</v>
      </c>
      <c r="BM240" s="18"/>
      <c r="BN240" s="10" t="s">
        <v>80</v>
      </c>
    </row>
    <row r="241" ht="15.75" customHeight="1">
      <c r="A241" s="1">
        <v>265.0</v>
      </c>
      <c r="B241" s="2">
        <v>262.0</v>
      </c>
      <c r="C241" s="17">
        <v>45245.70220637732</v>
      </c>
      <c r="D241" s="18" t="s">
        <v>919</v>
      </c>
      <c r="E241" s="19">
        <v>33708.0</v>
      </c>
      <c r="F241" s="18" t="s">
        <v>67</v>
      </c>
      <c r="G241" s="18" t="s">
        <v>920</v>
      </c>
      <c r="H241" s="18">
        <v>2.923425827E9</v>
      </c>
      <c r="I241" s="18" t="s">
        <v>449</v>
      </c>
      <c r="J241" s="18" t="s">
        <v>85</v>
      </c>
      <c r="K241" s="18" t="s">
        <v>134</v>
      </c>
      <c r="L241" s="18">
        <v>52.0</v>
      </c>
      <c r="M241" s="18" t="s">
        <v>101</v>
      </c>
      <c r="N241" s="18" t="s">
        <v>73</v>
      </c>
      <c r="O241" s="18" t="s">
        <v>921</v>
      </c>
      <c r="P241" s="18" t="s">
        <v>74</v>
      </c>
      <c r="Q241" s="18"/>
      <c r="R241" s="18" t="s">
        <v>73</v>
      </c>
      <c r="S241" s="18" t="s">
        <v>73</v>
      </c>
      <c r="T241" s="18" t="s">
        <v>73</v>
      </c>
      <c r="U241" s="18" t="s">
        <v>73</v>
      </c>
      <c r="V241" s="18"/>
      <c r="W241" s="18"/>
      <c r="X241" s="18"/>
      <c r="Y241" s="18" t="s">
        <v>73</v>
      </c>
      <c r="Z241" s="18"/>
      <c r="AA241" s="18" t="s">
        <v>75</v>
      </c>
      <c r="AB241" s="20" t="s">
        <v>76</v>
      </c>
      <c r="AC241" s="18" t="s">
        <v>77</v>
      </c>
      <c r="AD241" s="18" t="s">
        <v>78</v>
      </c>
      <c r="AE241" s="13" t="s">
        <v>138</v>
      </c>
      <c r="AF241" s="6" t="s">
        <v>80</v>
      </c>
      <c r="AG241" s="18" t="s">
        <v>81</v>
      </c>
      <c r="AH241" s="18" t="s">
        <v>96</v>
      </c>
      <c r="AI241" s="18" t="s">
        <v>922</v>
      </c>
      <c r="AJ241" s="18"/>
      <c r="AK241" s="18" t="s">
        <v>923</v>
      </c>
      <c r="AL241" s="18" t="s">
        <v>895</v>
      </c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4">
        <v>45657.0</v>
      </c>
      <c r="BG241" s="7" t="s">
        <v>73</v>
      </c>
      <c r="BH241" s="7"/>
      <c r="BI241" s="15">
        <f t="shared" si="1"/>
        <v>32</v>
      </c>
      <c r="BJ241" s="15" t="str">
        <f t="shared" si="3"/>
        <v>18-35</v>
      </c>
      <c r="BK241" s="15"/>
      <c r="BL241" s="7"/>
      <c r="BM241" s="7"/>
      <c r="BN241" s="18" t="s">
        <v>80</v>
      </c>
    </row>
    <row r="242" ht="15.75" customHeight="1">
      <c r="A242" s="1">
        <v>266.0</v>
      </c>
      <c r="B242" s="2">
        <v>263.0</v>
      </c>
      <c r="C242" s="17">
        <v>45245.703388090275</v>
      </c>
      <c r="D242" s="18" t="s">
        <v>924</v>
      </c>
      <c r="E242" s="19">
        <v>34807.0</v>
      </c>
      <c r="F242" s="18" t="s">
        <v>106</v>
      </c>
      <c r="G242" s="18" t="s">
        <v>925</v>
      </c>
      <c r="H242" s="18">
        <v>2.923444812E9</v>
      </c>
      <c r="I242" s="18" t="s">
        <v>449</v>
      </c>
      <c r="J242" s="18" t="s">
        <v>85</v>
      </c>
      <c r="K242" s="18" t="s">
        <v>71</v>
      </c>
      <c r="L242" s="18">
        <v>82.0</v>
      </c>
      <c r="M242" s="18" t="s">
        <v>926</v>
      </c>
      <c r="N242" s="18" t="s">
        <v>73</v>
      </c>
      <c r="O242" s="18" t="s">
        <v>921</v>
      </c>
      <c r="P242" s="18" t="s">
        <v>74</v>
      </c>
      <c r="Q242" s="18"/>
      <c r="R242" s="18" t="s">
        <v>73</v>
      </c>
      <c r="S242" s="18" t="s">
        <v>73</v>
      </c>
      <c r="T242" s="18" t="s">
        <v>73</v>
      </c>
      <c r="U242" s="18" t="s">
        <v>73</v>
      </c>
      <c r="V242" s="18"/>
      <c r="W242" s="18"/>
      <c r="X242" s="18"/>
      <c r="Y242" s="18" t="s">
        <v>73</v>
      </c>
      <c r="Z242" s="18"/>
      <c r="AA242" s="18" t="s">
        <v>75</v>
      </c>
      <c r="AB242" s="20" t="s">
        <v>76</v>
      </c>
      <c r="AC242" s="18" t="s">
        <v>77</v>
      </c>
      <c r="AD242" s="18" t="s">
        <v>78</v>
      </c>
      <c r="AE242" s="13" t="s">
        <v>205</v>
      </c>
      <c r="AF242" s="6" t="s">
        <v>80</v>
      </c>
      <c r="AG242" s="18" t="s">
        <v>81</v>
      </c>
      <c r="AH242" s="18" t="s">
        <v>82</v>
      </c>
      <c r="AI242" s="18"/>
      <c r="AJ242" s="18"/>
      <c r="AK242" s="18" t="s">
        <v>923</v>
      </c>
      <c r="AL242" s="18" t="s">
        <v>895</v>
      </c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4">
        <v>45657.0</v>
      </c>
      <c r="BG242" s="7" t="s">
        <v>73</v>
      </c>
      <c r="BH242" s="7"/>
      <c r="BI242" s="15">
        <f t="shared" si="1"/>
        <v>29</v>
      </c>
      <c r="BJ242" s="15" t="str">
        <f t="shared" si="3"/>
        <v>18-35</v>
      </c>
      <c r="BK242" s="15"/>
      <c r="BL242" s="7"/>
      <c r="BM242" s="7"/>
      <c r="BN242" s="18" t="s">
        <v>80</v>
      </c>
    </row>
    <row r="243" ht="15.75" customHeight="1">
      <c r="A243" s="1">
        <v>267.0</v>
      </c>
      <c r="B243" s="2">
        <v>264.0</v>
      </c>
      <c r="C243" s="37">
        <v>45246.84769200231</v>
      </c>
      <c r="D243" s="38" t="s">
        <v>927</v>
      </c>
      <c r="E243" s="39">
        <v>28546.0</v>
      </c>
      <c r="F243" s="38" t="s">
        <v>67</v>
      </c>
      <c r="G243" s="38" t="s">
        <v>928</v>
      </c>
      <c r="H243" s="38">
        <v>1.15122726E9</v>
      </c>
      <c r="I243" s="38" t="s">
        <v>449</v>
      </c>
      <c r="J243" s="38" t="s">
        <v>109</v>
      </c>
      <c r="K243" s="38" t="s">
        <v>86</v>
      </c>
      <c r="L243" s="38">
        <v>53.0</v>
      </c>
      <c r="M243" s="38" t="s">
        <v>158</v>
      </c>
      <c r="N243" s="38" t="s">
        <v>73</v>
      </c>
      <c r="O243" s="38"/>
      <c r="P243" s="38" t="s">
        <v>178</v>
      </c>
      <c r="Q243" s="38"/>
      <c r="R243" s="38" t="s">
        <v>75</v>
      </c>
      <c r="S243" s="38" t="s">
        <v>73</v>
      </c>
      <c r="T243" s="38" t="s">
        <v>73</v>
      </c>
      <c r="U243" s="38" t="s">
        <v>73</v>
      </c>
      <c r="V243" s="38"/>
      <c r="W243" s="38"/>
      <c r="X243" s="38"/>
      <c r="Y243" s="38" t="s">
        <v>75</v>
      </c>
      <c r="Z243" s="61" t="s">
        <v>929</v>
      </c>
      <c r="AA243" s="38" t="s">
        <v>75</v>
      </c>
      <c r="AB243" s="40" t="s">
        <v>76</v>
      </c>
      <c r="AC243" s="38" t="s">
        <v>95</v>
      </c>
      <c r="AD243" s="38" t="s">
        <v>78</v>
      </c>
      <c r="AE243" s="13" t="s">
        <v>131</v>
      </c>
      <c r="AF243" s="6" t="s">
        <v>80</v>
      </c>
      <c r="AG243" s="38" t="s">
        <v>95</v>
      </c>
      <c r="AH243" s="38" t="s">
        <v>77</v>
      </c>
      <c r="AI243" s="38" t="s">
        <v>930</v>
      </c>
      <c r="AJ243" s="38"/>
      <c r="AK243" s="38" t="s">
        <v>931</v>
      </c>
      <c r="AL243" s="38" t="s">
        <v>895</v>
      </c>
      <c r="AM243" s="38"/>
      <c r="AN243" s="38"/>
      <c r="AO243" s="38"/>
      <c r="AP243" s="38"/>
      <c r="AQ243" s="38"/>
      <c r="AR243" s="38"/>
      <c r="AS243" s="38"/>
      <c r="AT243" s="38"/>
      <c r="AU243" s="38"/>
      <c r="AV243" s="38"/>
      <c r="AW243" s="38"/>
      <c r="AX243" s="38"/>
      <c r="AY243" s="38"/>
      <c r="AZ243" s="38"/>
      <c r="BA243" s="38"/>
      <c r="BB243" s="38"/>
      <c r="BC243" s="38"/>
      <c r="BD243" s="38"/>
      <c r="BE243" s="38"/>
      <c r="BF243" s="14">
        <v>45657.0</v>
      </c>
      <c r="BG243" s="7" t="s">
        <v>73</v>
      </c>
      <c r="BH243" s="7"/>
      <c r="BI243" s="15">
        <f t="shared" si="1"/>
        <v>46</v>
      </c>
      <c r="BJ243" s="15" t="str">
        <f t="shared" si="3"/>
        <v>35-55</v>
      </c>
      <c r="BK243" s="15"/>
      <c r="BL243" s="7"/>
      <c r="BM243" s="7"/>
      <c r="BN243" s="38" t="s">
        <v>80</v>
      </c>
    </row>
    <row r="244" ht="15.75" customHeight="1">
      <c r="A244" s="1">
        <v>268.0</v>
      </c>
      <c r="B244" s="2">
        <v>265.0</v>
      </c>
      <c r="C244" s="17">
        <v>45246.86557060185</v>
      </c>
      <c r="D244" s="18" t="s">
        <v>932</v>
      </c>
      <c r="E244" s="19">
        <v>30759.0</v>
      </c>
      <c r="F244" s="18" t="s">
        <v>67</v>
      </c>
      <c r="G244" s="18" t="s">
        <v>933</v>
      </c>
      <c r="H244" s="18">
        <v>1.141594738E9</v>
      </c>
      <c r="I244" s="18" t="s">
        <v>449</v>
      </c>
      <c r="J244" s="18" t="s">
        <v>85</v>
      </c>
      <c r="K244" s="18" t="s">
        <v>71</v>
      </c>
      <c r="L244" s="18">
        <v>85.0</v>
      </c>
      <c r="M244" s="18" t="s">
        <v>101</v>
      </c>
      <c r="N244" s="18" t="s">
        <v>73</v>
      </c>
      <c r="O244" s="18"/>
      <c r="P244" s="18" t="s">
        <v>74</v>
      </c>
      <c r="Q244" s="18"/>
      <c r="R244" s="18" t="s">
        <v>73</v>
      </c>
      <c r="S244" s="18" t="s">
        <v>73</v>
      </c>
      <c r="T244" s="18" t="s">
        <v>73</v>
      </c>
      <c r="U244" s="18" t="s">
        <v>73</v>
      </c>
      <c r="V244" s="18"/>
      <c r="W244" s="18"/>
      <c r="X244" s="18"/>
      <c r="Y244" s="18" t="s">
        <v>73</v>
      </c>
      <c r="Z244" s="18"/>
      <c r="AA244" s="18" t="s">
        <v>75</v>
      </c>
      <c r="AB244" s="20" t="s">
        <v>76</v>
      </c>
      <c r="AC244" s="18" t="s">
        <v>77</v>
      </c>
      <c r="AD244" s="18" t="s">
        <v>78</v>
      </c>
      <c r="AE244" s="13" t="s">
        <v>79</v>
      </c>
      <c r="AF244" s="6" t="s">
        <v>80</v>
      </c>
      <c r="AG244" s="18" t="s">
        <v>95</v>
      </c>
      <c r="AH244" s="18" t="s">
        <v>77</v>
      </c>
      <c r="AI244" s="18" t="s">
        <v>934</v>
      </c>
      <c r="AJ244" s="18"/>
      <c r="AK244" s="18" t="s">
        <v>912</v>
      </c>
      <c r="AL244" s="18" t="s">
        <v>895</v>
      </c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4">
        <v>45657.0</v>
      </c>
      <c r="BG244" s="7" t="s">
        <v>73</v>
      </c>
      <c r="BH244" s="7"/>
      <c r="BI244" s="15">
        <f t="shared" si="1"/>
        <v>40</v>
      </c>
      <c r="BJ244" s="15" t="str">
        <f t="shared" si="3"/>
        <v>35-55</v>
      </c>
      <c r="BK244" s="15"/>
      <c r="BL244" s="7"/>
      <c r="BM244" s="7"/>
      <c r="BN244" s="18" t="s">
        <v>80</v>
      </c>
    </row>
    <row r="245" ht="15.75" customHeight="1">
      <c r="A245" s="1">
        <v>269.0</v>
      </c>
      <c r="B245" s="2">
        <v>266.0</v>
      </c>
      <c r="C245" s="28">
        <v>45247.90373798611</v>
      </c>
      <c r="D245" s="29" t="s">
        <v>935</v>
      </c>
      <c r="E245" s="30">
        <v>38532.0</v>
      </c>
      <c r="F245" s="29" t="s">
        <v>67</v>
      </c>
      <c r="G245" s="29" t="s">
        <v>936</v>
      </c>
      <c r="H245" s="29">
        <v>1.124553174E9</v>
      </c>
      <c r="I245" s="29" t="s">
        <v>92</v>
      </c>
      <c r="J245" s="29" t="s">
        <v>85</v>
      </c>
      <c r="K245" s="29" t="s">
        <v>71</v>
      </c>
      <c r="L245" s="29">
        <v>55.0</v>
      </c>
      <c r="M245" s="29" t="s">
        <v>147</v>
      </c>
      <c r="N245" s="29" t="s">
        <v>73</v>
      </c>
      <c r="O245" s="29"/>
      <c r="P245" s="29" t="s">
        <v>178</v>
      </c>
      <c r="Q245" s="29"/>
      <c r="R245" s="29" t="s">
        <v>73</v>
      </c>
      <c r="S245" s="29" t="s">
        <v>73</v>
      </c>
      <c r="T245" s="29" t="s">
        <v>73</v>
      </c>
      <c r="U245" s="29" t="s">
        <v>73</v>
      </c>
      <c r="V245" s="29"/>
      <c r="W245" s="29"/>
      <c r="X245" s="29"/>
      <c r="Y245" s="29" t="s">
        <v>73</v>
      </c>
      <c r="Z245" s="29"/>
      <c r="AA245" s="29" t="s">
        <v>73</v>
      </c>
      <c r="AB245" s="31"/>
      <c r="AC245" s="29" t="s">
        <v>95</v>
      </c>
      <c r="AD245" s="29" t="s">
        <v>78</v>
      </c>
      <c r="AE245" s="13" t="s">
        <v>79</v>
      </c>
      <c r="AF245" s="6" t="s">
        <v>187</v>
      </c>
      <c r="AG245" s="29" t="s">
        <v>95</v>
      </c>
      <c r="AH245" s="29" t="s">
        <v>102</v>
      </c>
      <c r="AI245" s="29" t="s">
        <v>937</v>
      </c>
      <c r="AJ245" s="29"/>
      <c r="AK245" s="29" t="s">
        <v>931</v>
      </c>
      <c r="AL245" s="29" t="s">
        <v>895</v>
      </c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14">
        <v>45657.0</v>
      </c>
      <c r="BG245" s="7" t="s">
        <v>73</v>
      </c>
      <c r="BH245" s="7"/>
      <c r="BI245" s="15">
        <f t="shared" si="1"/>
        <v>19</v>
      </c>
      <c r="BJ245" s="15" t="str">
        <f t="shared" si="3"/>
        <v>18-35</v>
      </c>
      <c r="BK245" s="15"/>
      <c r="BL245" s="7"/>
      <c r="BM245" s="7"/>
      <c r="BN245" s="29" t="s">
        <v>187</v>
      </c>
    </row>
    <row r="246" ht="15.75" customHeight="1">
      <c r="A246" s="1">
        <v>270.0</v>
      </c>
      <c r="B246" s="2">
        <v>267.0</v>
      </c>
      <c r="C246" s="9">
        <v>45248.414634201385</v>
      </c>
      <c r="D246" s="10" t="s">
        <v>938</v>
      </c>
      <c r="E246" s="11">
        <v>36949.0</v>
      </c>
      <c r="F246" s="10" t="s">
        <v>106</v>
      </c>
      <c r="G246" s="10" t="s">
        <v>939</v>
      </c>
      <c r="H246" s="10">
        <v>2.494673686E9</v>
      </c>
      <c r="I246" s="10" t="s">
        <v>92</v>
      </c>
      <c r="J246" s="10" t="s">
        <v>85</v>
      </c>
      <c r="K246" s="10" t="s">
        <v>134</v>
      </c>
      <c r="L246" s="10">
        <v>65.0</v>
      </c>
      <c r="M246" s="10" t="s">
        <v>130</v>
      </c>
      <c r="N246" s="10" t="s">
        <v>73</v>
      </c>
      <c r="O246" s="10"/>
      <c r="P246" s="10" t="s">
        <v>178</v>
      </c>
      <c r="Q246" s="10"/>
      <c r="R246" s="10" t="s">
        <v>73</v>
      </c>
      <c r="S246" s="10" t="s">
        <v>73</v>
      </c>
      <c r="T246" s="10" t="s">
        <v>73</v>
      </c>
      <c r="U246" s="10" t="s">
        <v>73</v>
      </c>
      <c r="V246" s="10"/>
      <c r="W246" s="10"/>
      <c r="X246" s="10"/>
      <c r="Y246" s="10" t="s">
        <v>73</v>
      </c>
      <c r="Z246" s="10"/>
      <c r="AA246" s="10" t="s">
        <v>75</v>
      </c>
      <c r="AB246" s="12" t="s">
        <v>76</v>
      </c>
      <c r="AC246" s="10" t="s">
        <v>77</v>
      </c>
      <c r="AD246" s="10" t="s">
        <v>78</v>
      </c>
      <c r="AE246" s="13" t="s">
        <v>205</v>
      </c>
      <c r="AF246" s="6" t="s">
        <v>80</v>
      </c>
      <c r="AG246" s="10" t="s">
        <v>81</v>
      </c>
      <c r="AH246" s="10" t="s">
        <v>82</v>
      </c>
      <c r="AI246" s="10"/>
      <c r="AJ246" s="10"/>
      <c r="AK246" s="10" t="s">
        <v>931</v>
      </c>
      <c r="AL246" s="10" t="s">
        <v>895</v>
      </c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4">
        <v>45255.0</v>
      </c>
      <c r="BG246" s="7" t="s">
        <v>75</v>
      </c>
      <c r="BH246" s="7" t="s">
        <v>190</v>
      </c>
      <c r="BI246" s="15">
        <f t="shared" si="1"/>
        <v>22</v>
      </c>
      <c r="BJ246" s="15" t="str">
        <f t="shared" si="3"/>
        <v>18-35</v>
      </c>
      <c r="BK246" s="15"/>
      <c r="BL246" s="15"/>
      <c r="BM246" s="7"/>
      <c r="BN246" s="10" t="s">
        <v>80</v>
      </c>
    </row>
    <row r="247" ht="15.75" customHeight="1">
      <c r="A247" s="1">
        <v>271.0</v>
      </c>
      <c r="B247" s="2">
        <v>268.0</v>
      </c>
      <c r="C247" s="37">
        <v>45249.44841913195</v>
      </c>
      <c r="D247" s="38" t="s">
        <v>581</v>
      </c>
      <c r="E247" s="39">
        <v>36453.0</v>
      </c>
      <c r="F247" s="38" t="s">
        <v>67</v>
      </c>
      <c r="G247" s="38" t="s">
        <v>307</v>
      </c>
      <c r="H247" s="38">
        <v>1.123866478E9</v>
      </c>
      <c r="I247" s="38" t="s">
        <v>449</v>
      </c>
      <c r="J247" s="38" t="s">
        <v>85</v>
      </c>
      <c r="K247" s="38" t="s">
        <v>134</v>
      </c>
      <c r="L247" s="38">
        <v>55.0</v>
      </c>
      <c r="M247" s="38" t="s">
        <v>147</v>
      </c>
      <c r="N247" s="38" t="s">
        <v>73</v>
      </c>
      <c r="O247" s="38"/>
      <c r="P247" s="38" t="s">
        <v>423</v>
      </c>
      <c r="Q247" s="38"/>
      <c r="R247" s="38" t="s">
        <v>75</v>
      </c>
      <c r="S247" s="38" t="s">
        <v>73</v>
      </c>
      <c r="T247" s="38" t="s">
        <v>73</v>
      </c>
      <c r="U247" s="38" t="s">
        <v>75</v>
      </c>
      <c r="V247" s="38" t="s">
        <v>940</v>
      </c>
      <c r="W247" s="38" t="s">
        <v>694</v>
      </c>
      <c r="X247" s="73">
        <v>44175.0</v>
      </c>
      <c r="Y247" s="38" t="s">
        <v>73</v>
      </c>
      <c r="Z247" s="38"/>
      <c r="AA247" s="38" t="s">
        <v>75</v>
      </c>
      <c r="AB247" s="40" t="s">
        <v>76</v>
      </c>
      <c r="AC247" s="38" t="s">
        <v>95</v>
      </c>
      <c r="AD247" s="38" t="s">
        <v>506</v>
      </c>
      <c r="AE247" s="13" t="s">
        <v>113</v>
      </c>
      <c r="AF247" s="6" t="s">
        <v>80</v>
      </c>
      <c r="AG247" s="38" t="s">
        <v>95</v>
      </c>
      <c r="AH247" s="38" t="s">
        <v>82</v>
      </c>
      <c r="AI247" s="38"/>
      <c r="AJ247" s="38"/>
      <c r="AK247" s="38" t="s">
        <v>941</v>
      </c>
      <c r="AL247" s="38" t="s">
        <v>942</v>
      </c>
      <c r="AM247" s="38"/>
      <c r="AN247" s="38"/>
      <c r="AO247" s="38"/>
      <c r="AP247" s="38"/>
      <c r="AQ247" s="38"/>
      <c r="AR247" s="38"/>
      <c r="AS247" s="38"/>
      <c r="AT247" s="38"/>
      <c r="AU247" s="38"/>
      <c r="AV247" s="38"/>
      <c r="AW247" s="38"/>
      <c r="AX247" s="38"/>
      <c r="AY247" s="38"/>
      <c r="AZ247" s="38"/>
      <c r="BA247" s="38"/>
      <c r="BB247" s="38"/>
      <c r="BC247" s="38"/>
      <c r="BD247" s="38"/>
      <c r="BE247" s="38"/>
      <c r="BF247" s="14">
        <v>45657.0</v>
      </c>
      <c r="BG247" s="7" t="s">
        <v>73</v>
      </c>
      <c r="BH247" s="7"/>
      <c r="BI247" s="15">
        <f t="shared" si="1"/>
        <v>25</v>
      </c>
      <c r="BJ247" s="15" t="str">
        <f t="shared" si="3"/>
        <v>18-35</v>
      </c>
      <c r="BK247" s="15"/>
      <c r="BL247" s="7"/>
      <c r="BM247" s="7"/>
      <c r="BN247" s="38" t="s">
        <v>80</v>
      </c>
    </row>
    <row r="248" ht="15.75" customHeight="1">
      <c r="A248" s="1">
        <v>272.0</v>
      </c>
      <c r="B248" s="2">
        <v>269.0</v>
      </c>
      <c r="C248" s="9">
        <v>45259.46007803241</v>
      </c>
      <c r="D248" s="10" t="s">
        <v>943</v>
      </c>
      <c r="E248" s="11">
        <v>26881.0</v>
      </c>
      <c r="F248" s="10" t="s">
        <v>67</v>
      </c>
      <c r="G248" s="10" t="s">
        <v>944</v>
      </c>
      <c r="H248" s="10">
        <v>1.164449976E9</v>
      </c>
      <c r="I248" s="10" t="s">
        <v>221</v>
      </c>
      <c r="J248" s="10" t="s">
        <v>85</v>
      </c>
      <c r="K248" s="10" t="s">
        <v>71</v>
      </c>
      <c r="L248" s="10">
        <v>69.0</v>
      </c>
      <c r="M248" s="10" t="s">
        <v>241</v>
      </c>
      <c r="N248" s="10" t="s">
        <v>73</v>
      </c>
      <c r="O248" s="10"/>
      <c r="P248" s="10" t="s">
        <v>74</v>
      </c>
      <c r="Q248" s="10" t="s">
        <v>945</v>
      </c>
      <c r="R248" s="10" t="s">
        <v>73</v>
      </c>
      <c r="S248" s="10" t="s">
        <v>73</v>
      </c>
      <c r="T248" s="10" t="s">
        <v>73</v>
      </c>
      <c r="U248" s="10" t="s">
        <v>75</v>
      </c>
      <c r="V248" s="10" t="s">
        <v>946</v>
      </c>
      <c r="W248" s="10" t="s">
        <v>694</v>
      </c>
      <c r="X248" s="74">
        <v>45047.0</v>
      </c>
      <c r="Y248" s="10" t="s">
        <v>75</v>
      </c>
      <c r="Z248" s="10" t="s">
        <v>947</v>
      </c>
      <c r="AA248" s="10" t="s">
        <v>75</v>
      </c>
      <c r="AB248" s="12" t="s">
        <v>76</v>
      </c>
      <c r="AC248" s="10" t="s">
        <v>77</v>
      </c>
      <c r="AD248" s="10" t="s">
        <v>78</v>
      </c>
      <c r="AE248" s="13" t="s">
        <v>138</v>
      </c>
      <c r="AF248" s="6" t="s">
        <v>80</v>
      </c>
      <c r="AG248" s="10" t="s">
        <v>81</v>
      </c>
      <c r="AH248" s="10" t="s">
        <v>102</v>
      </c>
      <c r="AI248" s="10" t="s">
        <v>948</v>
      </c>
      <c r="AJ248" s="10"/>
      <c r="AK248" s="10" t="s">
        <v>918</v>
      </c>
      <c r="AL248" s="10" t="s">
        <v>895</v>
      </c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4">
        <v>45255.0</v>
      </c>
      <c r="BG248" s="7" t="s">
        <v>75</v>
      </c>
      <c r="BH248" s="7" t="s">
        <v>190</v>
      </c>
      <c r="BI248" s="15">
        <f t="shared" si="1"/>
        <v>50</v>
      </c>
      <c r="BJ248" s="15" t="str">
        <f t="shared" si="3"/>
        <v>35-55</v>
      </c>
      <c r="BK248" s="15" t="s">
        <v>75</v>
      </c>
      <c r="BL248" s="15" t="s">
        <v>75</v>
      </c>
      <c r="BM248" s="18"/>
      <c r="BN248" s="10" t="s">
        <v>80</v>
      </c>
    </row>
    <row r="249" ht="15.75" customHeight="1">
      <c r="A249" s="1">
        <v>273.0</v>
      </c>
      <c r="B249" s="2">
        <v>270.0</v>
      </c>
      <c r="C249" s="9">
        <v>45261.54542072916</v>
      </c>
      <c r="D249" s="10" t="s">
        <v>949</v>
      </c>
      <c r="E249" s="11">
        <v>24904.0</v>
      </c>
      <c r="F249" s="10" t="s">
        <v>67</v>
      </c>
      <c r="G249" s="10" t="s">
        <v>950</v>
      </c>
      <c r="H249" s="10">
        <v>2.494672229E9</v>
      </c>
      <c r="I249" s="10" t="s">
        <v>92</v>
      </c>
      <c r="J249" s="10" t="s">
        <v>109</v>
      </c>
      <c r="K249" s="10" t="s">
        <v>71</v>
      </c>
      <c r="L249" s="10">
        <v>63.0</v>
      </c>
      <c r="M249" s="10" t="s">
        <v>101</v>
      </c>
      <c r="N249" s="10" t="s">
        <v>73</v>
      </c>
      <c r="O249" s="10"/>
      <c r="P249" s="10" t="s">
        <v>74</v>
      </c>
      <c r="Q249" s="10"/>
      <c r="R249" s="10" t="s">
        <v>73</v>
      </c>
      <c r="S249" s="10" t="s">
        <v>73</v>
      </c>
      <c r="T249" s="10" t="s">
        <v>73</v>
      </c>
      <c r="U249" s="10" t="s">
        <v>73</v>
      </c>
      <c r="V249" s="10"/>
      <c r="W249" s="10"/>
      <c r="X249" s="10"/>
      <c r="Y249" s="10" t="s">
        <v>75</v>
      </c>
      <c r="Z249" s="23" t="s">
        <v>929</v>
      </c>
      <c r="AA249" s="10" t="s">
        <v>73</v>
      </c>
      <c r="AB249" s="12"/>
      <c r="AC249" s="10" t="s">
        <v>95</v>
      </c>
      <c r="AD249" s="10" t="s">
        <v>78</v>
      </c>
      <c r="AE249" s="13" t="s">
        <v>205</v>
      </c>
      <c r="AF249" s="6" t="s">
        <v>80</v>
      </c>
      <c r="AG249" s="10" t="s">
        <v>81</v>
      </c>
      <c r="AH249" s="10" t="s">
        <v>96</v>
      </c>
      <c r="AI249" s="10" t="s">
        <v>951</v>
      </c>
      <c r="AJ249" s="10"/>
      <c r="AK249" s="10" t="s">
        <v>918</v>
      </c>
      <c r="AL249" s="10" t="s">
        <v>895</v>
      </c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4">
        <v>45278.0</v>
      </c>
      <c r="BG249" s="7" t="s">
        <v>75</v>
      </c>
      <c r="BH249" s="7" t="s">
        <v>190</v>
      </c>
      <c r="BI249" s="15">
        <f t="shared" si="1"/>
        <v>55</v>
      </c>
      <c r="BJ249" s="15" t="str">
        <f t="shared" si="3"/>
        <v>35-55</v>
      </c>
      <c r="BK249" s="15"/>
      <c r="BL249" s="7"/>
      <c r="BM249" s="7"/>
      <c r="BN249" s="10" t="s">
        <v>80</v>
      </c>
    </row>
    <row r="250" ht="15.75" customHeight="1">
      <c r="A250" s="1">
        <v>274.0</v>
      </c>
      <c r="B250" s="2">
        <v>271.0</v>
      </c>
      <c r="C250" s="9">
        <v>45277.88867436342</v>
      </c>
      <c r="D250" s="10" t="s">
        <v>952</v>
      </c>
      <c r="E250" s="11">
        <v>33008.0</v>
      </c>
      <c r="F250" s="10" t="s">
        <v>106</v>
      </c>
      <c r="G250" s="10" t="s">
        <v>313</v>
      </c>
      <c r="H250" s="10">
        <v>3.425933985E9</v>
      </c>
      <c r="I250" s="10" t="s">
        <v>449</v>
      </c>
      <c r="J250" s="10" t="s">
        <v>85</v>
      </c>
      <c r="K250" s="10" t="s">
        <v>86</v>
      </c>
      <c r="L250" s="10">
        <v>72.0</v>
      </c>
      <c r="M250" s="10" t="s">
        <v>194</v>
      </c>
      <c r="N250" s="10" t="s">
        <v>73</v>
      </c>
      <c r="O250" s="10"/>
      <c r="P250" s="10" t="s">
        <v>74</v>
      </c>
      <c r="Q250" s="10"/>
      <c r="R250" s="10" t="s">
        <v>73</v>
      </c>
      <c r="S250" s="10" t="s">
        <v>73</v>
      </c>
      <c r="T250" s="10" t="s">
        <v>73</v>
      </c>
      <c r="U250" s="10" t="s">
        <v>73</v>
      </c>
      <c r="V250" s="10"/>
      <c r="W250" s="10"/>
      <c r="X250" s="10"/>
      <c r="Y250" s="10" t="s">
        <v>73</v>
      </c>
      <c r="Z250" s="10"/>
      <c r="AA250" s="10" t="s">
        <v>75</v>
      </c>
      <c r="AB250" s="12" t="s">
        <v>112</v>
      </c>
      <c r="AC250" s="10" t="s">
        <v>95</v>
      </c>
      <c r="AD250" s="10" t="s">
        <v>78</v>
      </c>
      <c r="AE250" s="13" t="s">
        <v>79</v>
      </c>
      <c r="AF250" s="6" t="s">
        <v>80</v>
      </c>
      <c r="AG250" s="10" t="s">
        <v>81</v>
      </c>
      <c r="AH250" s="10" t="s">
        <v>82</v>
      </c>
      <c r="AI250" s="10"/>
      <c r="AJ250" s="10"/>
      <c r="AK250" s="10" t="s">
        <v>941</v>
      </c>
      <c r="AL250" s="10" t="s">
        <v>895</v>
      </c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4">
        <v>45277.0</v>
      </c>
      <c r="BG250" s="7" t="s">
        <v>75</v>
      </c>
      <c r="BH250" s="7" t="s">
        <v>190</v>
      </c>
      <c r="BI250" s="15">
        <f t="shared" si="1"/>
        <v>33</v>
      </c>
      <c r="BJ250" s="15" t="str">
        <f t="shared" si="3"/>
        <v>18-35</v>
      </c>
      <c r="BK250" s="15" t="s">
        <v>75</v>
      </c>
      <c r="BL250" s="15" t="s">
        <v>75</v>
      </c>
      <c r="BM250" s="60"/>
      <c r="BN250" s="15" t="s">
        <v>75</v>
      </c>
    </row>
    <row r="251" ht="15.75" customHeight="1">
      <c r="A251" s="1" t="s">
        <v>137</v>
      </c>
      <c r="B251" s="2">
        <v>272.0</v>
      </c>
      <c r="C251" s="10" t="s">
        <v>953</v>
      </c>
      <c r="D251" s="10" t="s">
        <v>954</v>
      </c>
      <c r="E251" s="11">
        <v>34835.0</v>
      </c>
      <c r="F251" s="75" t="s">
        <v>67</v>
      </c>
      <c r="G251" s="10" t="s">
        <v>955</v>
      </c>
      <c r="H251" s="10">
        <v>5.491151220695E12</v>
      </c>
      <c r="I251" s="10" t="s">
        <v>449</v>
      </c>
      <c r="J251" s="10" t="s">
        <v>85</v>
      </c>
      <c r="K251" s="10" t="s">
        <v>86</v>
      </c>
      <c r="L251" s="10">
        <v>45.0</v>
      </c>
      <c r="M251" s="10" t="s">
        <v>142</v>
      </c>
      <c r="N251" s="10" t="s">
        <v>73</v>
      </c>
      <c r="O251" s="10"/>
      <c r="P251" s="10" t="s">
        <v>74</v>
      </c>
      <c r="Q251" s="10"/>
      <c r="R251" s="10" t="s">
        <v>73</v>
      </c>
      <c r="S251" s="10" t="s">
        <v>73</v>
      </c>
      <c r="T251" s="10" t="s">
        <v>73</v>
      </c>
      <c r="U251" s="10" t="s">
        <v>73</v>
      </c>
      <c r="V251" s="10"/>
      <c r="W251" s="10"/>
      <c r="X251" s="10"/>
      <c r="Y251" s="10" t="s">
        <v>73</v>
      </c>
      <c r="Z251" s="10"/>
      <c r="AA251" s="10" t="s">
        <v>73</v>
      </c>
      <c r="AB251" s="12"/>
      <c r="AC251" s="10" t="s">
        <v>77</v>
      </c>
      <c r="AD251" s="10" t="s">
        <v>78</v>
      </c>
      <c r="AE251" s="13" t="s">
        <v>131</v>
      </c>
      <c r="AF251" s="6" t="s">
        <v>151</v>
      </c>
      <c r="AG251" s="10" t="s">
        <v>95</v>
      </c>
      <c r="AH251" s="10" t="s">
        <v>77</v>
      </c>
      <c r="AI251" s="10" t="s">
        <v>956</v>
      </c>
      <c r="AJ251" s="10"/>
      <c r="AK251" s="10" t="s">
        <v>957</v>
      </c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4">
        <v>45277.0</v>
      </c>
      <c r="BG251" s="7" t="s">
        <v>75</v>
      </c>
      <c r="BH251" s="7" t="s">
        <v>190</v>
      </c>
      <c r="BI251" s="15">
        <f t="shared" si="1"/>
        <v>28</v>
      </c>
      <c r="BJ251" s="15" t="str">
        <f t="shared" si="3"/>
        <v>18-35</v>
      </c>
      <c r="BK251" s="15"/>
      <c r="BL251" s="7"/>
      <c r="BM251" s="7"/>
      <c r="BN251" s="10" t="s">
        <v>151</v>
      </c>
    </row>
    <row r="252" ht="15.75" customHeight="1">
      <c r="A252" s="76">
        <v>275.0</v>
      </c>
      <c r="B252" s="66">
        <v>273.0</v>
      </c>
      <c r="C252" s="9">
        <v>45280.778850625</v>
      </c>
      <c r="D252" s="10" t="s">
        <v>381</v>
      </c>
      <c r="E252" s="11">
        <v>26588.0</v>
      </c>
      <c r="F252" s="10" t="s">
        <v>67</v>
      </c>
      <c r="G252" s="10" t="s">
        <v>382</v>
      </c>
      <c r="H252" s="23" t="s">
        <v>383</v>
      </c>
      <c r="I252" s="10" t="s">
        <v>92</v>
      </c>
      <c r="J252" s="10" t="s">
        <v>70</v>
      </c>
      <c r="K252" s="10" t="s">
        <v>86</v>
      </c>
      <c r="L252" s="10">
        <v>50.0</v>
      </c>
      <c r="M252" s="10" t="s">
        <v>101</v>
      </c>
      <c r="N252" s="10" t="s">
        <v>73</v>
      </c>
      <c r="O252" s="10"/>
      <c r="P252" s="10" t="s">
        <v>74</v>
      </c>
      <c r="Q252" s="10"/>
      <c r="R252" s="10" t="s">
        <v>73</v>
      </c>
      <c r="S252" s="10" t="s">
        <v>73</v>
      </c>
      <c r="T252" s="10" t="s">
        <v>73</v>
      </c>
      <c r="U252" s="10" t="s">
        <v>73</v>
      </c>
      <c r="V252" s="10"/>
      <c r="W252" s="10"/>
      <c r="X252" s="10"/>
      <c r="Y252" s="10" t="s">
        <v>73</v>
      </c>
      <c r="Z252" s="10"/>
      <c r="AA252" s="10" t="s">
        <v>73</v>
      </c>
      <c r="AB252" s="12"/>
      <c r="AC252" s="10" t="s">
        <v>77</v>
      </c>
      <c r="AD252" s="10" t="s">
        <v>78</v>
      </c>
      <c r="AE252" s="13" t="s">
        <v>138</v>
      </c>
      <c r="AF252" s="6" t="s">
        <v>80</v>
      </c>
      <c r="AG252" s="10" t="s">
        <v>81</v>
      </c>
      <c r="AH252" s="10" t="s">
        <v>77</v>
      </c>
      <c r="AI252" s="10" t="s">
        <v>948</v>
      </c>
      <c r="AJ252" s="10"/>
      <c r="AK252" s="10" t="s">
        <v>941</v>
      </c>
      <c r="AL252" s="10" t="s">
        <v>895</v>
      </c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4">
        <v>45277.0</v>
      </c>
      <c r="BG252" s="7" t="s">
        <v>75</v>
      </c>
      <c r="BH252" s="7" t="s">
        <v>385</v>
      </c>
      <c r="BI252" s="15">
        <f t="shared" si="1"/>
        <v>51</v>
      </c>
      <c r="BJ252" s="15" t="str">
        <f t="shared" si="3"/>
        <v>35-55</v>
      </c>
      <c r="BK252" s="15" t="s">
        <v>75</v>
      </c>
      <c r="BL252" s="15" t="s">
        <v>75</v>
      </c>
      <c r="BM252" s="60"/>
      <c r="BN252" s="15" t="s">
        <v>75</v>
      </c>
    </row>
    <row r="253" ht="15.75" customHeight="1">
      <c r="A253" s="1">
        <v>276.0</v>
      </c>
      <c r="B253" s="2">
        <v>276.0</v>
      </c>
      <c r="C253" s="17">
        <v>45301.45475950232</v>
      </c>
      <c r="D253" s="18" t="s">
        <v>958</v>
      </c>
      <c r="E253" s="19">
        <v>35702.0</v>
      </c>
      <c r="F253" s="18" t="s">
        <v>67</v>
      </c>
      <c r="G253" s="18" t="s">
        <v>959</v>
      </c>
      <c r="H253" s="18">
        <v>1.131567867E9</v>
      </c>
      <c r="I253" s="18" t="s">
        <v>449</v>
      </c>
      <c r="J253" s="18" t="s">
        <v>85</v>
      </c>
      <c r="K253" s="18" t="s">
        <v>134</v>
      </c>
      <c r="L253" s="18">
        <v>56.0</v>
      </c>
      <c r="M253" s="18" t="s">
        <v>487</v>
      </c>
      <c r="N253" s="18" t="s">
        <v>73</v>
      </c>
      <c r="O253" s="18"/>
      <c r="P253" s="18" t="s">
        <v>74</v>
      </c>
      <c r="Q253" s="18"/>
      <c r="R253" s="18" t="s">
        <v>73</v>
      </c>
      <c r="S253" s="18" t="s">
        <v>73</v>
      </c>
      <c r="T253" s="18" t="s">
        <v>73</v>
      </c>
      <c r="U253" s="18" t="s">
        <v>73</v>
      </c>
      <c r="V253" s="18"/>
      <c r="W253" s="18"/>
      <c r="X253" s="18"/>
      <c r="Y253" s="18" t="s">
        <v>73</v>
      </c>
      <c r="Z253" s="18"/>
      <c r="AA253" s="18" t="s">
        <v>73</v>
      </c>
      <c r="AB253" s="20"/>
      <c r="AC253" s="18" t="s">
        <v>77</v>
      </c>
      <c r="AD253" s="18" t="s">
        <v>78</v>
      </c>
      <c r="AE253" s="13" t="s">
        <v>138</v>
      </c>
      <c r="AF253" s="6" t="s">
        <v>80</v>
      </c>
      <c r="AG253" s="18" t="s">
        <v>77</v>
      </c>
      <c r="AH253" s="18" t="s">
        <v>102</v>
      </c>
      <c r="AI253" s="18" t="s">
        <v>956</v>
      </c>
      <c r="AJ253" s="18"/>
      <c r="AK253" s="18" t="s">
        <v>931</v>
      </c>
      <c r="AL253" s="18" t="s">
        <v>895</v>
      </c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4">
        <v>45657.0</v>
      </c>
      <c r="BG253" s="7" t="s">
        <v>73</v>
      </c>
      <c r="BH253" s="7"/>
      <c r="BI253" s="15">
        <f t="shared" si="1"/>
        <v>27</v>
      </c>
      <c r="BJ253" s="15" t="str">
        <f t="shared" si="3"/>
        <v>18-35</v>
      </c>
      <c r="BK253" s="15"/>
      <c r="BL253" s="7"/>
      <c r="BM253" s="7"/>
      <c r="BN253" s="18" t="s">
        <v>80</v>
      </c>
    </row>
    <row r="254" ht="15.75" customHeight="1">
      <c r="A254" s="1">
        <v>277.0</v>
      </c>
      <c r="B254" s="2">
        <v>277.0</v>
      </c>
      <c r="C254" s="37">
        <v>45307.43136527778</v>
      </c>
      <c r="D254" s="38" t="s">
        <v>960</v>
      </c>
      <c r="E254" s="39">
        <v>35788.0</v>
      </c>
      <c r="F254" s="38" t="s">
        <v>67</v>
      </c>
      <c r="G254" s="38" t="s">
        <v>961</v>
      </c>
      <c r="H254" s="38">
        <v>1.14086449E9</v>
      </c>
      <c r="I254" s="38" t="s">
        <v>69</v>
      </c>
      <c r="J254" s="38" t="s">
        <v>70</v>
      </c>
      <c r="K254" s="38" t="s">
        <v>71</v>
      </c>
      <c r="L254" s="38">
        <v>56.0</v>
      </c>
      <c r="M254" s="38" t="s">
        <v>101</v>
      </c>
      <c r="N254" s="38" t="s">
        <v>75</v>
      </c>
      <c r="O254" s="38" t="s">
        <v>962</v>
      </c>
      <c r="P254" s="38" t="s">
        <v>963</v>
      </c>
      <c r="Q254" s="38"/>
      <c r="R254" s="38" t="s">
        <v>73</v>
      </c>
      <c r="S254" s="38" t="s">
        <v>73</v>
      </c>
      <c r="T254" s="38" t="s">
        <v>73</v>
      </c>
      <c r="U254" s="38" t="s">
        <v>75</v>
      </c>
      <c r="V254" s="38" t="s">
        <v>964</v>
      </c>
      <c r="W254" s="38" t="s">
        <v>694</v>
      </c>
      <c r="X254" s="73">
        <v>36039.0</v>
      </c>
      <c r="Y254" s="38" t="s">
        <v>73</v>
      </c>
      <c r="Z254" s="38"/>
      <c r="AA254" s="38" t="s">
        <v>73</v>
      </c>
      <c r="AB254" s="40"/>
      <c r="AC254" s="38" t="s">
        <v>95</v>
      </c>
      <c r="AD254" s="38" t="s">
        <v>78</v>
      </c>
      <c r="AE254" s="13" t="s">
        <v>131</v>
      </c>
      <c r="AF254" s="6" t="s">
        <v>187</v>
      </c>
      <c r="AG254" s="38" t="s">
        <v>81</v>
      </c>
      <c r="AH254" s="38" t="s">
        <v>82</v>
      </c>
      <c r="AI254" s="38"/>
      <c r="AJ254" s="38"/>
      <c r="AK254" s="38" t="s">
        <v>912</v>
      </c>
      <c r="AL254" s="38" t="s">
        <v>895</v>
      </c>
      <c r="AM254" s="38"/>
      <c r="AN254" s="38"/>
      <c r="AO254" s="38"/>
      <c r="AP254" s="38"/>
      <c r="AQ254" s="38"/>
      <c r="AR254" s="38"/>
      <c r="AS254" s="38"/>
      <c r="AT254" s="38"/>
      <c r="AU254" s="38"/>
      <c r="AV254" s="38"/>
      <c r="AW254" s="38"/>
      <c r="AX254" s="38"/>
      <c r="AY254" s="38"/>
      <c r="AZ254" s="38"/>
      <c r="BA254" s="38"/>
      <c r="BB254" s="38"/>
      <c r="BC254" s="38"/>
      <c r="BD254" s="38"/>
      <c r="BE254" s="38"/>
      <c r="BF254" s="14">
        <v>45657.0</v>
      </c>
      <c r="BG254" s="7" t="s">
        <v>73</v>
      </c>
      <c r="BH254" s="7"/>
      <c r="BI254" s="15">
        <f t="shared" si="1"/>
        <v>27</v>
      </c>
      <c r="BJ254" s="15" t="str">
        <f t="shared" si="3"/>
        <v>18-35</v>
      </c>
      <c r="BK254" s="15"/>
      <c r="BL254" s="7"/>
      <c r="BM254" s="7"/>
      <c r="BN254" s="38" t="s">
        <v>187</v>
      </c>
    </row>
    <row r="255" ht="15.75" customHeight="1">
      <c r="A255" s="1">
        <v>279.0</v>
      </c>
      <c r="B255" s="2">
        <v>279.0</v>
      </c>
      <c r="C255" s="9">
        <v>45314.38676739583</v>
      </c>
      <c r="D255" s="10" t="s">
        <v>965</v>
      </c>
      <c r="E255" s="11">
        <v>23107.0</v>
      </c>
      <c r="F255" s="10" t="s">
        <v>67</v>
      </c>
      <c r="G255" s="10" t="s">
        <v>966</v>
      </c>
      <c r="H255" s="10">
        <v>1.153359221E9</v>
      </c>
      <c r="I255" s="10" t="s">
        <v>92</v>
      </c>
      <c r="J255" s="10" t="s">
        <v>70</v>
      </c>
      <c r="K255" s="10" t="s">
        <v>71</v>
      </c>
      <c r="L255" s="10">
        <v>70.0</v>
      </c>
      <c r="M255" s="10" t="s">
        <v>123</v>
      </c>
      <c r="N255" s="10" t="s">
        <v>73</v>
      </c>
      <c r="O255" s="10"/>
      <c r="P255" s="10" t="s">
        <v>329</v>
      </c>
      <c r="Q255" s="10"/>
      <c r="R255" s="10" t="s">
        <v>73</v>
      </c>
      <c r="S255" s="10" t="s">
        <v>73</v>
      </c>
      <c r="T255" s="10" t="s">
        <v>73</v>
      </c>
      <c r="U255" s="10" t="s">
        <v>75</v>
      </c>
      <c r="V255" s="10" t="s">
        <v>967</v>
      </c>
      <c r="W255" s="10" t="s">
        <v>694</v>
      </c>
      <c r="X255" s="74">
        <v>36526.0</v>
      </c>
      <c r="Y255" s="10" t="s">
        <v>73</v>
      </c>
      <c r="Z255" s="10"/>
      <c r="AA255" s="10" t="s">
        <v>75</v>
      </c>
      <c r="AB255" s="77" t="s">
        <v>76</v>
      </c>
      <c r="AC255" s="10" t="s">
        <v>82</v>
      </c>
      <c r="AD255" s="10" t="s">
        <v>78</v>
      </c>
      <c r="AE255" s="13" t="s">
        <v>79</v>
      </c>
      <c r="AF255" s="6" t="s">
        <v>151</v>
      </c>
      <c r="AG255" s="10" t="s">
        <v>95</v>
      </c>
      <c r="AH255" s="10" t="s">
        <v>102</v>
      </c>
      <c r="AI255" s="10" t="s">
        <v>956</v>
      </c>
      <c r="AJ255" s="10"/>
      <c r="AK255" s="10" t="s">
        <v>918</v>
      </c>
      <c r="AL255" s="10" t="s">
        <v>895</v>
      </c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4">
        <v>45344.0</v>
      </c>
      <c r="BG255" s="7" t="s">
        <v>75</v>
      </c>
      <c r="BH255" s="7" t="s">
        <v>190</v>
      </c>
      <c r="BI255" s="15">
        <f t="shared" si="1"/>
        <v>61</v>
      </c>
      <c r="BJ255" s="15" t="str">
        <f t="shared" si="3"/>
        <v>&gt;55</v>
      </c>
      <c r="BK255" s="15"/>
      <c r="BL255" s="7"/>
      <c r="BM255" s="7"/>
      <c r="BN255" s="10" t="s">
        <v>151</v>
      </c>
    </row>
    <row r="256" ht="15.75" customHeight="1">
      <c r="A256" s="1">
        <v>280.0</v>
      </c>
      <c r="B256" s="2">
        <v>280.0</v>
      </c>
      <c r="C256" s="9">
        <v>45317.429958252316</v>
      </c>
      <c r="D256" s="10" t="s">
        <v>968</v>
      </c>
      <c r="E256" s="11">
        <v>34750.0</v>
      </c>
      <c r="F256" s="10" t="s">
        <v>67</v>
      </c>
      <c r="G256" s="10" t="s">
        <v>969</v>
      </c>
      <c r="H256" s="10">
        <v>1.144041346E9</v>
      </c>
      <c r="I256" s="10" t="s">
        <v>449</v>
      </c>
      <c r="J256" s="10" t="s">
        <v>70</v>
      </c>
      <c r="K256" s="10" t="s">
        <v>86</v>
      </c>
      <c r="L256" s="10">
        <v>50.0</v>
      </c>
      <c r="M256" s="10">
        <v>1.57</v>
      </c>
      <c r="N256" s="10" t="s">
        <v>73</v>
      </c>
      <c r="O256" s="10"/>
      <c r="P256" s="10" t="s">
        <v>74</v>
      </c>
      <c r="Q256" s="10"/>
      <c r="R256" s="10" t="s">
        <v>73</v>
      </c>
      <c r="S256" s="10" t="s">
        <v>73</v>
      </c>
      <c r="T256" s="10" t="s">
        <v>73</v>
      </c>
      <c r="U256" s="10" t="s">
        <v>73</v>
      </c>
      <c r="V256" s="10"/>
      <c r="W256" s="10"/>
      <c r="X256" s="10"/>
      <c r="Y256" s="10" t="s">
        <v>73</v>
      </c>
      <c r="Z256" s="10"/>
      <c r="AA256" s="10" t="s">
        <v>75</v>
      </c>
      <c r="AB256" s="77" t="s">
        <v>112</v>
      </c>
      <c r="AC256" s="10" t="s">
        <v>82</v>
      </c>
      <c r="AD256" s="10" t="s">
        <v>506</v>
      </c>
      <c r="AE256" s="13" t="s">
        <v>113</v>
      </c>
      <c r="AF256" s="6" t="s">
        <v>80</v>
      </c>
      <c r="AG256" s="10" t="s">
        <v>95</v>
      </c>
      <c r="AH256" s="10" t="s">
        <v>77</v>
      </c>
      <c r="AI256" s="10" t="s">
        <v>970</v>
      </c>
      <c r="AJ256" s="10"/>
      <c r="AK256" s="10" t="s">
        <v>941</v>
      </c>
      <c r="AL256" s="10" t="s">
        <v>971</v>
      </c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4">
        <v>45323.0</v>
      </c>
      <c r="BG256" s="7" t="s">
        <v>75</v>
      </c>
      <c r="BH256" s="7" t="s">
        <v>604</v>
      </c>
      <c r="BI256" s="15">
        <f t="shared" si="1"/>
        <v>29</v>
      </c>
      <c r="BJ256" s="15" t="str">
        <f t="shared" si="3"/>
        <v>18-35</v>
      </c>
      <c r="BK256" s="15"/>
      <c r="BL256" s="7"/>
      <c r="BM256" s="7"/>
      <c r="BN256" s="10" t="s">
        <v>80</v>
      </c>
    </row>
    <row r="257" ht="15.75" customHeight="1">
      <c r="A257" s="1">
        <v>281.0</v>
      </c>
      <c r="B257" s="2">
        <v>281.0</v>
      </c>
      <c r="C257" s="9">
        <v>45317.458191701386</v>
      </c>
      <c r="D257" s="10" t="s">
        <v>972</v>
      </c>
      <c r="E257" s="11">
        <v>34779.0</v>
      </c>
      <c r="F257" s="10" t="s">
        <v>106</v>
      </c>
      <c r="G257" s="10" t="s">
        <v>973</v>
      </c>
      <c r="H257" s="10">
        <v>1.132742367E9</v>
      </c>
      <c r="I257" s="10" t="s">
        <v>92</v>
      </c>
      <c r="J257" s="10" t="s">
        <v>109</v>
      </c>
      <c r="K257" s="10" t="s">
        <v>166</v>
      </c>
      <c r="L257" s="10">
        <v>110.0</v>
      </c>
      <c r="M257" s="10">
        <v>1.83</v>
      </c>
      <c r="N257" s="10" t="s">
        <v>73</v>
      </c>
      <c r="O257" s="10"/>
      <c r="P257" s="10" t="s">
        <v>974</v>
      </c>
      <c r="Q257" s="10"/>
      <c r="R257" s="10" t="s">
        <v>73</v>
      </c>
      <c r="S257" s="10" t="s">
        <v>73</v>
      </c>
      <c r="T257" s="10" t="s">
        <v>73</v>
      </c>
      <c r="U257" s="10" t="s">
        <v>73</v>
      </c>
      <c r="V257" s="10"/>
      <c r="W257" s="10"/>
      <c r="X257" s="10"/>
      <c r="Y257" s="10" t="s">
        <v>75</v>
      </c>
      <c r="Z257" s="23" t="s">
        <v>929</v>
      </c>
      <c r="AA257" s="10" t="s">
        <v>75</v>
      </c>
      <c r="AB257" s="77" t="s">
        <v>76</v>
      </c>
      <c r="AC257" s="10" t="s">
        <v>95</v>
      </c>
      <c r="AD257" s="10" t="s">
        <v>78</v>
      </c>
      <c r="AE257" s="13" t="s">
        <v>205</v>
      </c>
      <c r="AF257" s="6" t="s">
        <v>80</v>
      </c>
      <c r="AG257" s="10" t="s">
        <v>77</v>
      </c>
      <c r="AH257" s="10" t="s">
        <v>82</v>
      </c>
      <c r="AI257" s="10"/>
      <c r="AJ257" s="10"/>
      <c r="AK257" s="10" t="s">
        <v>941</v>
      </c>
      <c r="AL257" s="10" t="s">
        <v>975</v>
      </c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4">
        <v>45323.0</v>
      </c>
      <c r="BG257" s="7" t="s">
        <v>75</v>
      </c>
      <c r="BH257" s="7" t="s">
        <v>604</v>
      </c>
      <c r="BI257" s="15">
        <f t="shared" si="1"/>
        <v>29</v>
      </c>
      <c r="BJ257" s="15" t="str">
        <f t="shared" si="3"/>
        <v>18-35</v>
      </c>
      <c r="BK257" s="15"/>
      <c r="BL257" s="7"/>
      <c r="BM257" s="7"/>
      <c r="BN257" s="10" t="s">
        <v>80</v>
      </c>
    </row>
    <row r="258" ht="15.75" customHeight="1">
      <c r="A258" s="1">
        <v>282.0</v>
      </c>
      <c r="B258" s="2">
        <v>282.0</v>
      </c>
      <c r="C258" s="9">
        <v>45320.49602082176</v>
      </c>
      <c r="D258" s="10" t="s">
        <v>976</v>
      </c>
      <c r="E258" s="11">
        <v>31411.0</v>
      </c>
      <c r="F258" s="10" t="s">
        <v>67</v>
      </c>
      <c r="G258" s="10" t="s">
        <v>977</v>
      </c>
      <c r="H258" s="10">
        <v>1.135685485E9</v>
      </c>
      <c r="I258" s="10" t="s">
        <v>92</v>
      </c>
      <c r="J258" s="10" t="s">
        <v>85</v>
      </c>
      <c r="K258" s="10" t="s">
        <v>86</v>
      </c>
      <c r="L258" s="10">
        <v>55.0</v>
      </c>
      <c r="M258" s="10" t="s">
        <v>419</v>
      </c>
      <c r="N258" s="10" t="s">
        <v>73</v>
      </c>
      <c r="O258" s="10"/>
      <c r="P258" s="10" t="s">
        <v>178</v>
      </c>
      <c r="Q258" s="10"/>
      <c r="R258" s="10" t="s">
        <v>73</v>
      </c>
      <c r="S258" s="10" t="s">
        <v>73</v>
      </c>
      <c r="T258" s="10" t="s">
        <v>73</v>
      </c>
      <c r="U258" s="10" t="s">
        <v>73</v>
      </c>
      <c r="V258" s="10"/>
      <c r="W258" s="10"/>
      <c r="X258" s="10"/>
      <c r="Y258" s="10" t="s">
        <v>73</v>
      </c>
      <c r="Z258" s="10"/>
      <c r="AA258" s="10" t="s">
        <v>75</v>
      </c>
      <c r="AB258" s="77" t="s">
        <v>76</v>
      </c>
      <c r="AC258" s="10" t="s">
        <v>77</v>
      </c>
      <c r="AD258" s="10" t="s">
        <v>78</v>
      </c>
      <c r="AE258" s="13" t="s">
        <v>113</v>
      </c>
      <c r="AF258" s="6" t="s">
        <v>80</v>
      </c>
      <c r="AG258" s="10" t="s">
        <v>95</v>
      </c>
      <c r="AH258" s="10" t="s">
        <v>77</v>
      </c>
      <c r="AI258" s="10" t="s">
        <v>948</v>
      </c>
      <c r="AJ258" s="10"/>
      <c r="AK258" s="10" t="s">
        <v>941</v>
      </c>
      <c r="AL258" s="10" t="s">
        <v>978</v>
      </c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4">
        <v>45323.0</v>
      </c>
      <c r="BG258" s="7" t="s">
        <v>75</v>
      </c>
      <c r="BH258" s="7" t="s">
        <v>604</v>
      </c>
      <c r="BI258" s="15">
        <f t="shared" si="1"/>
        <v>39</v>
      </c>
      <c r="BJ258" s="15" t="str">
        <f t="shared" si="3"/>
        <v>35-55</v>
      </c>
      <c r="BK258" s="15"/>
      <c r="BL258" s="7"/>
      <c r="BM258" s="7"/>
      <c r="BN258" s="10" t="s">
        <v>80</v>
      </c>
    </row>
    <row r="259" ht="15.75" customHeight="1">
      <c r="A259" s="1">
        <v>283.0</v>
      </c>
      <c r="B259" s="2">
        <v>283.0</v>
      </c>
      <c r="C259" s="9">
        <v>45320.51658115741</v>
      </c>
      <c r="D259" s="10" t="s">
        <v>979</v>
      </c>
      <c r="E259" s="11">
        <v>34555.0</v>
      </c>
      <c r="F259" s="10" t="s">
        <v>106</v>
      </c>
      <c r="G259" s="10" t="s">
        <v>980</v>
      </c>
      <c r="H259" s="10">
        <v>1.38617227E8</v>
      </c>
      <c r="I259" s="10" t="s">
        <v>69</v>
      </c>
      <c r="J259" s="10" t="s">
        <v>146</v>
      </c>
      <c r="K259" s="10" t="s">
        <v>71</v>
      </c>
      <c r="L259" s="10">
        <v>81.0</v>
      </c>
      <c r="M259" s="10">
        <v>1.77</v>
      </c>
      <c r="N259" s="10" t="s">
        <v>73</v>
      </c>
      <c r="O259" s="10"/>
      <c r="P259" s="10" t="s">
        <v>74</v>
      </c>
      <c r="Q259" s="10"/>
      <c r="R259" s="10" t="s">
        <v>73</v>
      </c>
      <c r="S259" s="10" t="s">
        <v>73</v>
      </c>
      <c r="T259" s="10" t="s">
        <v>73</v>
      </c>
      <c r="U259" s="10" t="s">
        <v>73</v>
      </c>
      <c r="V259" s="10"/>
      <c r="W259" s="10"/>
      <c r="X259" s="10"/>
      <c r="Y259" s="10" t="s">
        <v>75</v>
      </c>
      <c r="Z259" s="23" t="s">
        <v>929</v>
      </c>
      <c r="AA259" s="10" t="s">
        <v>75</v>
      </c>
      <c r="AB259" s="77" t="s">
        <v>112</v>
      </c>
      <c r="AC259" s="10" t="s">
        <v>77</v>
      </c>
      <c r="AD259" s="10" t="s">
        <v>78</v>
      </c>
      <c r="AE259" s="13" t="s">
        <v>113</v>
      </c>
      <c r="AF259" s="6" t="s">
        <v>80</v>
      </c>
      <c r="AG259" s="10" t="s">
        <v>81</v>
      </c>
      <c r="AH259" s="10" t="s">
        <v>82</v>
      </c>
      <c r="AI259" s="10"/>
      <c r="AJ259" s="10"/>
      <c r="AK259" s="10" t="s">
        <v>941</v>
      </c>
      <c r="AL259" s="10" t="s">
        <v>981</v>
      </c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4">
        <v>45323.0</v>
      </c>
      <c r="BG259" s="7" t="s">
        <v>75</v>
      </c>
      <c r="BH259" s="7" t="s">
        <v>604</v>
      </c>
      <c r="BI259" s="15">
        <f t="shared" si="1"/>
        <v>30</v>
      </c>
      <c r="BJ259" s="15" t="str">
        <f t="shared" si="3"/>
        <v>18-35</v>
      </c>
      <c r="BK259" s="15"/>
      <c r="BL259" s="7"/>
      <c r="BM259" s="7"/>
      <c r="BN259" s="10" t="s">
        <v>80</v>
      </c>
    </row>
    <row r="260" ht="15.75" customHeight="1">
      <c r="A260" s="1">
        <v>284.0</v>
      </c>
      <c r="B260" s="2">
        <v>284.0</v>
      </c>
      <c r="C260" s="9">
        <v>45320.56293251157</v>
      </c>
      <c r="D260" s="10" t="s">
        <v>982</v>
      </c>
      <c r="E260" s="11">
        <v>33134.0</v>
      </c>
      <c r="F260" s="10" t="s">
        <v>106</v>
      </c>
      <c r="G260" s="10" t="s">
        <v>983</v>
      </c>
      <c r="H260" s="10">
        <v>1.132414015E9</v>
      </c>
      <c r="I260" s="10" t="s">
        <v>449</v>
      </c>
      <c r="J260" s="10" t="s">
        <v>70</v>
      </c>
      <c r="K260" s="10" t="s">
        <v>71</v>
      </c>
      <c r="L260" s="10">
        <v>90.0</v>
      </c>
      <c r="M260" s="10" t="s">
        <v>648</v>
      </c>
      <c r="N260" s="10" t="s">
        <v>73</v>
      </c>
      <c r="O260" s="10"/>
      <c r="P260" s="10" t="s">
        <v>178</v>
      </c>
      <c r="Q260" s="10"/>
      <c r="R260" s="10" t="s">
        <v>73</v>
      </c>
      <c r="S260" s="10" t="s">
        <v>73</v>
      </c>
      <c r="T260" s="10" t="s">
        <v>73</v>
      </c>
      <c r="U260" s="10" t="s">
        <v>73</v>
      </c>
      <c r="V260" s="10"/>
      <c r="W260" s="10"/>
      <c r="X260" s="10"/>
      <c r="Y260" s="10" t="s">
        <v>73</v>
      </c>
      <c r="Z260" s="10"/>
      <c r="AA260" s="10" t="s">
        <v>75</v>
      </c>
      <c r="AB260" s="77" t="s">
        <v>76</v>
      </c>
      <c r="AC260" s="10" t="s">
        <v>77</v>
      </c>
      <c r="AD260" s="10" t="s">
        <v>78</v>
      </c>
      <c r="AE260" s="13" t="s">
        <v>205</v>
      </c>
      <c r="AF260" s="6" t="s">
        <v>80</v>
      </c>
      <c r="AG260" s="10" t="s">
        <v>81</v>
      </c>
      <c r="AH260" s="10" t="s">
        <v>82</v>
      </c>
      <c r="AI260" s="10"/>
      <c r="AJ260" s="10"/>
      <c r="AK260" s="10" t="s">
        <v>918</v>
      </c>
      <c r="AL260" s="10" t="s">
        <v>895</v>
      </c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4">
        <v>45348.0</v>
      </c>
      <c r="BG260" s="7" t="s">
        <v>75</v>
      </c>
      <c r="BH260" s="7" t="s">
        <v>190</v>
      </c>
      <c r="BI260" s="15">
        <f t="shared" si="1"/>
        <v>34</v>
      </c>
      <c r="BJ260" s="15" t="str">
        <f t="shared" si="3"/>
        <v>18-35</v>
      </c>
      <c r="BK260" s="15"/>
      <c r="BL260" s="7"/>
      <c r="BM260" s="7"/>
      <c r="BN260" s="10" t="s">
        <v>80</v>
      </c>
    </row>
    <row r="261" ht="15.75" customHeight="1">
      <c r="A261" s="1">
        <v>285.0</v>
      </c>
      <c r="B261" s="2">
        <v>285.0</v>
      </c>
      <c r="C261" s="9">
        <v>45320.60512850694</v>
      </c>
      <c r="D261" s="10" t="s">
        <v>984</v>
      </c>
      <c r="E261" s="11">
        <v>34008.0</v>
      </c>
      <c r="F261" s="10" t="s">
        <v>67</v>
      </c>
      <c r="G261" s="10" t="s">
        <v>985</v>
      </c>
      <c r="H261" s="10">
        <v>1.13915674E9</v>
      </c>
      <c r="I261" s="10" t="s">
        <v>449</v>
      </c>
      <c r="J261" s="10" t="s">
        <v>85</v>
      </c>
      <c r="K261" s="10" t="s">
        <v>86</v>
      </c>
      <c r="L261" s="10">
        <v>50.0</v>
      </c>
      <c r="M261" s="10" t="s">
        <v>163</v>
      </c>
      <c r="N261" s="10" t="s">
        <v>73</v>
      </c>
      <c r="O261" s="10"/>
      <c r="P261" s="10" t="s">
        <v>74</v>
      </c>
      <c r="Q261" s="10"/>
      <c r="R261" s="10" t="s">
        <v>73</v>
      </c>
      <c r="S261" s="10" t="s">
        <v>73</v>
      </c>
      <c r="T261" s="10" t="s">
        <v>73</v>
      </c>
      <c r="U261" s="10" t="s">
        <v>75</v>
      </c>
      <c r="V261" s="10" t="s">
        <v>986</v>
      </c>
      <c r="W261" s="10" t="s">
        <v>987</v>
      </c>
      <c r="X261" s="74" t="s">
        <v>988</v>
      </c>
      <c r="Y261" s="10" t="s">
        <v>73</v>
      </c>
      <c r="Z261" s="10"/>
      <c r="AA261" s="10" t="s">
        <v>73</v>
      </c>
      <c r="AB261" s="12"/>
      <c r="AC261" s="10" t="s">
        <v>82</v>
      </c>
      <c r="AD261" s="10" t="s">
        <v>78</v>
      </c>
      <c r="AE261" s="13" t="s">
        <v>79</v>
      </c>
      <c r="AF261" s="6" t="s">
        <v>187</v>
      </c>
      <c r="AG261" s="10" t="s">
        <v>95</v>
      </c>
      <c r="AH261" s="10" t="s">
        <v>77</v>
      </c>
      <c r="AI261" s="10" t="s">
        <v>989</v>
      </c>
      <c r="AJ261" s="10"/>
      <c r="AK261" s="10" t="s">
        <v>941</v>
      </c>
      <c r="AL261" s="10" t="s">
        <v>971</v>
      </c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4">
        <v>45323.0</v>
      </c>
      <c r="BG261" s="7" t="s">
        <v>75</v>
      </c>
      <c r="BH261" s="7" t="s">
        <v>604</v>
      </c>
      <c r="BI261" s="15">
        <f t="shared" si="1"/>
        <v>31</v>
      </c>
      <c r="BJ261" s="15" t="str">
        <f t="shared" si="3"/>
        <v>18-35</v>
      </c>
      <c r="BK261" s="15"/>
      <c r="BL261" s="7"/>
      <c r="BM261" s="7"/>
      <c r="BN261" s="10" t="s">
        <v>187</v>
      </c>
    </row>
    <row r="262" ht="15.75" customHeight="1">
      <c r="A262" s="1">
        <v>286.0</v>
      </c>
      <c r="B262" s="2">
        <v>286.0</v>
      </c>
      <c r="C262" s="37">
        <v>45320.68948826389</v>
      </c>
      <c r="D262" s="38" t="s">
        <v>990</v>
      </c>
      <c r="E262" s="39">
        <v>31654.0</v>
      </c>
      <c r="F262" s="38" t="s">
        <v>67</v>
      </c>
      <c r="G262" s="38" t="s">
        <v>991</v>
      </c>
      <c r="H262" s="61" t="s">
        <v>992</v>
      </c>
      <c r="I262" s="38" t="s">
        <v>841</v>
      </c>
      <c r="J262" s="38" t="s">
        <v>85</v>
      </c>
      <c r="K262" s="38" t="s">
        <v>71</v>
      </c>
      <c r="L262" s="38">
        <v>70.0</v>
      </c>
      <c r="M262" s="38">
        <v>1.7</v>
      </c>
      <c r="N262" s="38" t="s">
        <v>75</v>
      </c>
      <c r="O262" s="38" t="s">
        <v>403</v>
      </c>
      <c r="P262" s="38" t="s">
        <v>993</v>
      </c>
      <c r="Q262" s="38"/>
      <c r="R262" s="38" t="s">
        <v>73</v>
      </c>
      <c r="S262" s="38" t="s">
        <v>73</v>
      </c>
      <c r="T262" s="38" t="s">
        <v>73</v>
      </c>
      <c r="U262" s="38" t="s">
        <v>75</v>
      </c>
      <c r="V262" s="38" t="s">
        <v>335</v>
      </c>
      <c r="W262" s="38" t="s">
        <v>694</v>
      </c>
      <c r="X262" s="73">
        <v>42011.0</v>
      </c>
      <c r="Y262" s="38" t="s">
        <v>73</v>
      </c>
      <c r="Z262" s="38"/>
      <c r="AA262" s="38" t="s">
        <v>73</v>
      </c>
      <c r="AB262" s="40"/>
      <c r="AC262" s="38" t="s">
        <v>102</v>
      </c>
      <c r="AD262" s="38" t="s">
        <v>506</v>
      </c>
      <c r="AE262" s="13" t="s">
        <v>79</v>
      </c>
      <c r="AF262" s="6" t="s">
        <v>80</v>
      </c>
      <c r="AG262" s="38" t="s">
        <v>95</v>
      </c>
      <c r="AH262" s="38" t="s">
        <v>77</v>
      </c>
      <c r="AI262" s="38" t="s">
        <v>994</v>
      </c>
      <c r="AJ262" s="38"/>
      <c r="AK262" s="38" t="s">
        <v>941</v>
      </c>
      <c r="AL262" s="38" t="s">
        <v>975</v>
      </c>
      <c r="AM262" s="38"/>
      <c r="AN262" s="38"/>
      <c r="AO262" s="38"/>
      <c r="AP262" s="38"/>
      <c r="AQ262" s="38"/>
      <c r="AR262" s="38"/>
      <c r="AS262" s="38"/>
      <c r="AT262" s="38"/>
      <c r="AU262" s="38"/>
      <c r="AV262" s="38"/>
      <c r="AW262" s="38"/>
      <c r="AX262" s="38"/>
      <c r="AY262" s="38"/>
      <c r="AZ262" s="38"/>
      <c r="BA262" s="38"/>
      <c r="BB262" s="38"/>
      <c r="BC262" s="38"/>
      <c r="BD262" s="38"/>
      <c r="BE262" s="38"/>
      <c r="BF262" s="14">
        <v>45657.0</v>
      </c>
      <c r="BG262" s="7" t="s">
        <v>73</v>
      </c>
      <c r="BH262" s="7"/>
      <c r="BI262" s="15">
        <f t="shared" si="1"/>
        <v>38</v>
      </c>
      <c r="BJ262" s="15" t="str">
        <f t="shared" si="3"/>
        <v>35-55</v>
      </c>
      <c r="BK262" s="15"/>
      <c r="BL262" s="7"/>
      <c r="BM262" s="7"/>
      <c r="BN262" s="38" t="s">
        <v>80</v>
      </c>
    </row>
    <row r="263" ht="15.75" customHeight="1">
      <c r="A263" s="1">
        <v>287.0</v>
      </c>
      <c r="B263" s="2">
        <v>287.0</v>
      </c>
      <c r="C263" s="9">
        <v>45320.69344971065</v>
      </c>
      <c r="D263" s="10" t="s">
        <v>995</v>
      </c>
      <c r="E263" s="11">
        <v>34618.0</v>
      </c>
      <c r="F263" s="10" t="s">
        <v>67</v>
      </c>
      <c r="G263" s="10" t="s">
        <v>996</v>
      </c>
      <c r="H263" s="10">
        <v>2.664548587E9</v>
      </c>
      <c r="I263" s="10" t="s">
        <v>92</v>
      </c>
      <c r="J263" s="10" t="s">
        <v>85</v>
      </c>
      <c r="K263" s="10" t="s">
        <v>71</v>
      </c>
      <c r="L263" s="10">
        <v>53.0</v>
      </c>
      <c r="M263" s="10" t="s">
        <v>265</v>
      </c>
      <c r="N263" s="10" t="s">
        <v>75</v>
      </c>
      <c r="O263" s="10" t="s">
        <v>997</v>
      </c>
      <c r="P263" s="10" t="s">
        <v>74</v>
      </c>
      <c r="Q263" s="10"/>
      <c r="R263" s="10" t="s">
        <v>73</v>
      </c>
      <c r="S263" s="10" t="s">
        <v>73</v>
      </c>
      <c r="T263" s="10" t="s">
        <v>73</v>
      </c>
      <c r="U263" s="10" t="s">
        <v>75</v>
      </c>
      <c r="V263" s="10" t="s">
        <v>998</v>
      </c>
      <c r="W263" s="10" t="s">
        <v>694</v>
      </c>
      <c r="X263" s="74">
        <v>45139.0</v>
      </c>
      <c r="Y263" s="10" t="s">
        <v>73</v>
      </c>
      <c r="Z263" s="10"/>
      <c r="AA263" s="10" t="s">
        <v>73</v>
      </c>
      <c r="AB263" s="12"/>
      <c r="AC263" s="10" t="s">
        <v>82</v>
      </c>
      <c r="AD263" s="10" t="s">
        <v>506</v>
      </c>
      <c r="AE263" s="13" t="s">
        <v>113</v>
      </c>
      <c r="AF263" s="6" t="s">
        <v>187</v>
      </c>
      <c r="AG263" s="10" t="s">
        <v>95</v>
      </c>
      <c r="AH263" s="10" t="s">
        <v>96</v>
      </c>
      <c r="AI263" s="10" t="s">
        <v>999</v>
      </c>
      <c r="AJ263" s="10"/>
      <c r="AK263" s="10" t="s">
        <v>941</v>
      </c>
      <c r="AL263" s="10" t="s">
        <v>971</v>
      </c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4">
        <v>45323.0</v>
      </c>
      <c r="BG263" s="7" t="s">
        <v>75</v>
      </c>
      <c r="BH263" s="7" t="s">
        <v>604</v>
      </c>
      <c r="BI263" s="15">
        <f t="shared" si="1"/>
        <v>30</v>
      </c>
      <c r="BJ263" s="15" t="str">
        <f t="shared" si="3"/>
        <v>18-35</v>
      </c>
      <c r="BK263" s="15"/>
      <c r="BL263" s="7"/>
      <c r="BM263" s="7"/>
      <c r="BN263" s="10" t="s">
        <v>187</v>
      </c>
    </row>
    <row r="264" ht="15.75" customHeight="1">
      <c r="A264" s="1">
        <v>288.0</v>
      </c>
      <c r="B264" s="2">
        <v>288.0</v>
      </c>
      <c r="C264" s="9">
        <v>45321.505344097226</v>
      </c>
      <c r="D264" s="10" t="s">
        <v>1000</v>
      </c>
      <c r="E264" s="11">
        <v>34693.0</v>
      </c>
      <c r="F264" s="10" t="s">
        <v>67</v>
      </c>
      <c r="G264" s="10" t="s">
        <v>1001</v>
      </c>
      <c r="H264" s="10">
        <v>1.54067923E9</v>
      </c>
      <c r="I264" s="10" t="s">
        <v>92</v>
      </c>
      <c r="J264" s="10" t="s">
        <v>85</v>
      </c>
      <c r="K264" s="10" t="s">
        <v>71</v>
      </c>
      <c r="L264" s="10">
        <v>60.0</v>
      </c>
      <c r="M264" s="10">
        <v>1.62</v>
      </c>
      <c r="N264" s="10" t="s">
        <v>73</v>
      </c>
      <c r="O264" s="10"/>
      <c r="P264" s="10" t="s">
        <v>178</v>
      </c>
      <c r="Q264" s="10"/>
      <c r="R264" s="10" t="s">
        <v>73</v>
      </c>
      <c r="S264" s="10" t="s">
        <v>73</v>
      </c>
      <c r="T264" s="10" t="s">
        <v>73</v>
      </c>
      <c r="U264" s="10" t="s">
        <v>73</v>
      </c>
      <c r="V264" s="10"/>
      <c r="W264" s="10"/>
      <c r="X264" s="10"/>
      <c r="Y264" s="10" t="s">
        <v>73</v>
      </c>
      <c r="Z264" s="10"/>
      <c r="AA264" s="10" t="s">
        <v>75</v>
      </c>
      <c r="AB264" s="77" t="s">
        <v>76</v>
      </c>
      <c r="AC264" s="10" t="s">
        <v>77</v>
      </c>
      <c r="AD264" s="10" t="s">
        <v>78</v>
      </c>
      <c r="AE264" s="13" t="s">
        <v>205</v>
      </c>
      <c r="AF264" s="6" t="s">
        <v>80</v>
      </c>
      <c r="AG264" s="10" t="s">
        <v>95</v>
      </c>
      <c r="AH264" s="10" t="s">
        <v>77</v>
      </c>
      <c r="AI264" s="10" t="s">
        <v>951</v>
      </c>
      <c r="AJ264" s="10"/>
      <c r="AK264" s="10" t="s">
        <v>941</v>
      </c>
      <c r="AL264" s="10" t="s">
        <v>981</v>
      </c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4">
        <v>45323.0</v>
      </c>
      <c r="BG264" s="7" t="s">
        <v>75</v>
      </c>
      <c r="BH264" s="7" t="s">
        <v>604</v>
      </c>
      <c r="BI264" s="15">
        <f t="shared" si="1"/>
        <v>30</v>
      </c>
      <c r="BJ264" s="15" t="str">
        <f t="shared" si="3"/>
        <v>18-35</v>
      </c>
      <c r="BK264" s="15"/>
      <c r="BL264" s="7"/>
      <c r="BM264" s="7"/>
      <c r="BN264" s="10" t="s">
        <v>80</v>
      </c>
    </row>
    <row r="265" ht="15.75" customHeight="1">
      <c r="A265" s="1">
        <v>289.0</v>
      </c>
      <c r="B265" s="2">
        <v>289.0</v>
      </c>
      <c r="C265" s="9">
        <v>45321.50539582176</v>
      </c>
      <c r="D265" s="10" t="s">
        <v>1002</v>
      </c>
      <c r="E265" s="11">
        <v>23671.0</v>
      </c>
      <c r="F265" s="10" t="s">
        <v>67</v>
      </c>
      <c r="G265" s="10" t="s">
        <v>1003</v>
      </c>
      <c r="H265" s="10">
        <v>1.565052945E9</v>
      </c>
      <c r="I265" s="10" t="s">
        <v>221</v>
      </c>
      <c r="J265" s="10" t="s">
        <v>85</v>
      </c>
      <c r="K265" s="10" t="s">
        <v>86</v>
      </c>
      <c r="L265" s="10">
        <v>90.0</v>
      </c>
      <c r="M265" s="10">
        <v>1.79</v>
      </c>
      <c r="N265" s="10" t="s">
        <v>73</v>
      </c>
      <c r="O265" s="10"/>
      <c r="P265" s="10" t="s">
        <v>74</v>
      </c>
      <c r="Q265" s="10"/>
      <c r="R265" s="10" t="s">
        <v>73</v>
      </c>
      <c r="S265" s="10" t="s">
        <v>73</v>
      </c>
      <c r="T265" s="10" t="s">
        <v>73</v>
      </c>
      <c r="U265" s="10" t="s">
        <v>75</v>
      </c>
      <c r="V265" s="10" t="s">
        <v>1004</v>
      </c>
      <c r="W265" s="10" t="s">
        <v>694</v>
      </c>
      <c r="X265" s="74">
        <v>44621.0</v>
      </c>
      <c r="Y265" s="10" t="s">
        <v>73</v>
      </c>
      <c r="Z265" s="10"/>
      <c r="AA265" s="10" t="s">
        <v>73</v>
      </c>
      <c r="AB265" s="12"/>
      <c r="AC265" s="10" t="s">
        <v>77</v>
      </c>
      <c r="AD265" s="10" t="s">
        <v>78</v>
      </c>
      <c r="AE265" s="13" t="s">
        <v>138</v>
      </c>
      <c r="AF265" s="6" t="s">
        <v>80</v>
      </c>
      <c r="AG265" s="10" t="s">
        <v>81</v>
      </c>
      <c r="AH265" s="10" t="s">
        <v>82</v>
      </c>
      <c r="AI265" s="10"/>
      <c r="AJ265" s="10"/>
      <c r="AK265" s="10" t="s">
        <v>941</v>
      </c>
      <c r="AL265" s="10" t="s">
        <v>981</v>
      </c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4">
        <v>45323.0</v>
      </c>
      <c r="BG265" s="7" t="s">
        <v>75</v>
      </c>
      <c r="BH265" s="7" t="s">
        <v>604</v>
      </c>
      <c r="BI265" s="15">
        <f t="shared" si="1"/>
        <v>60</v>
      </c>
      <c r="BJ265" s="15" t="str">
        <f t="shared" si="3"/>
        <v>&gt;55</v>
      </c>
      <c r="BK265" s="15"/>
      <c r="BL265" s="7"/>
      <c r="BM265" s="7"/>
      <c r="BN265" s="10" t="s">
        <v>80</v>
      </c>
    </row>
    <row r="266" ht="15.75" customHeight="1">
      <c r="A266" s="1">
        <v>290.0</v>
      </c>
      <c r="B266" s="2">
        <v>290.0</v>
      </c>
      <c r="C266" s="32">
        <v>45321.88855091435</v>
      </c>
      <c r="D266" s="33" t="s">
        <v>1005</v>
      </c>
      <c r="E266" s="34">
        <v>35040.0</v>
      </c>
      <c r="F266" s="33" t="s">
        <v>67</v>
      </c>
      <c r="G266" s="33" t="s">
        <v>1006</v>
      </c>
      <c r="H266" s="33">
        <v>1.157097327E9</v>
      </c>
      <c r="I266" s="33" t="s">
        <v>92</v>
      </c>
      <c r="J266" s="33" t="s">
        <v>109</v>
      </c>
      <c r="K266" s="33" t="s">
        <v>86</v>
      </c>
      <c r="L266" s="33">
        <v>50.0</v>
      </c>
      <c r="M266" s="33" t="s">
        <v>232</v>
      </c>
      <c r="N266" s="33" t="s">
        <v>73</v>
      </c>
      <c r="O266" s="33"/>
      <c r="P266" s="33" t="s">
        <v>329</v>
      </c>
      <c r="Q266" s="33"/>
      <c r="R266" s="33" t="s">
        <v>73</v>
      </c>
      <c r="S266" s="33" t="s">
        <v>73</v>
      </c>
      <c r="T266" s="33" t="s">
        <v>73</v>
      </c>
      <c r="U266" s="33" t="s">
        <v>73</v>
      </c>
      <c r="V266" s="33"/>
      <c r="W266" s="33"/>
      <c r="X266" s="33"/>
      <c r="Y266" s="33" t="s">
        <v>73</v>
      </c>
      <c r="Z266" s="33"/>
      <c r="AA266" s="33" t="s">
        <v>75</v>
      </c>
      <c r="AB266" s="78" t="s">
        <v>76</v>
      </c>
      <c r="AC266" s="33" t="s">
        <v>82</v>
      </c>
      <c r="AD266" s="33" t="s">
        <v>506</v>
      </c>
      <c r="AE266" s="13" t="s">
        <v>79</v>
      </c>
      <c r="AF266" s="6" t="s">
        <v>80</v>
      </c>
      <c r="AG266" s="33" t="s">
        <v>95</v>
      </c>
      <c r="AH266" s="33" t="s">
        <v>96</v>
      </c>
      <c r="AI266" s="33" t="s">
        <v>948</v>
      </c>
      <c r="AJ266" s="33"/>
      <c r="AK266" s="33" t="s">
        <v>941</v>
      </c>
      <c r="AL266" s="33" t="s">
        <v>975</v>
      </c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  <c r="BD266" s="33"/>
      <c r="BE266" s="33"/>
      <c r="BF266" s="14">
        <v>45657.0</v>
      </c>
      <c r="BG266" s="7" t="s">
        <v>73</v>
      </c>
      <c r="BH266" s="7"/>
      <c r="BI266" s="15">
        <f t="shared" si="1"/>
        <v>29</v>
      </c>
      <c r="BJ266" s="15" t="str">
        <f t="shared" si="3"/>
        <v>18-35</v>
      </c>
      <c r="BK266" s="15"/>
      <c r="BL266" s="7"/>
      <c r="BM266" s="7"/>
      <c r="BN266" s="33" t="s">
        <v>80</v>
      </c>
    </row>
    <row r="267" ht="15.75" customHeight="1">
      <c r="A267" s="1">
        <v>291.0</v>
      </c>
      <c r="B267" s="2">
        <v>291.0</v>
      </c>
      <c r="C267" s="9">
        <v>45321.99562663195</v>
      </c>
      <c r="D267" s="10" t="s">
        <v>1007</v>
      </c>
      <c r="E267" s="11">
        <v>34332.0</v>
      </c>
      <c r="F267" s="10" t="s">
        <v>67</v>
      </c>
      <c r="G267" s="10" t="s">
        <v>1008</v>
      </c>
      <c r="H267" s="10">
        <v>1.140751774E9</v>
      </c>
      <c r="I267" s="10" t="s">
        <v>92</v>
      </c>
      <c r="J267" s="10" t="s">
        <v>70</v>
      </c>
      <c r="K267" s="10" t="s">
        <v>71</v>
      </c>
      <c r="L267" s="10">
        <v>53.0</v>
      </c>
      <c r="M267" s="10">
        <v>1.71</v>
      </c>
      <c r="N267" s="10" t="s">
        <v>73</v>
      </c>
      <c r="O267" s="10"/>
      <c r="P267" s="10" t="s">
        <v>74</v>
      </c>
      <c r="Q267" s="10"/>
      <c r="R267" s="10" t="s">
        <v>73</v>
      </c>
      <c r="S267" s="10" t="s">
        <v>73</v>
      </c>
      <c r="T267" s="10" t="s">
        <v>73</v>
      </c>
      <c r="U267" s="10" t="s">
        <v>73</v>
      </c>
      <c r="V267" s="10"/>
      <c r="W267" s="10"/>
      <c r="X267" s="10"/>
      <c r="Y267" s="10" t="s">
        <v>75</v>
      </c>
      <c r="Z267" s="10" t="s">
        <v>947</v>
      </c>
      <c r="AA267" s="10" t="s">
        <v>73</v>
      </c>
      <c r="AB267" s="12"/>
      <c r="AC267" s="10" t="s">
        <v>77</v>
      </c>
      <c r="AD267" s="10" t="s">
        <v>506</v>
      </c>
      <c r="AE267" s="13" t="s">
        <v>113</v>
      </c>
      <c r="AF267" s="6" t="s">
        <v>80</v>
      </c>
      <c r="AG267" s="10" t="s">
        <v>95</v>
      </c>
      <c r="AH267" s="10" t="s">
        <v>77</v>
      </c>
      <c r="AI267" s="10" t="s">
        <v>951</v>
      </c>
      <c r="AJ267" s="10"/>
      <c r="AK267" s="10" t="s">
        <v>941</v>
      </c>
      <c r="AL267" s="10" t="s">
        <v>975</v>
      </c>
      <c r="AM267" s="10"/>
      <c r="AN267" s="42"/>
      <c r="AO267" s="42"/>
      <c r="AP267" s="42"/>
      <c r="AQ267" s="42"/>
      <c r="AR267" s="42"/>
      <c r="AS267" s="42"/>
      <c r="AT267" s="42"/>
      <c r="AU267" s="42"/>
      <c r="AV267" s="42"/>
      <c r="AW267" s="42"/>
      <c r="AX267" s="42"/>
      <c r="AY267" s="42"/>
      <c r="AZ267" s="42"/>
      <c r="BA267" s="42"/>
      <c r="BB267" s="42"/>
      <c r="BC267" s="42"/>
      <c r="BD267" s="42"/>
      <c r="BE267" s="42"/>
      <c r="BF267" s="14">
        <v>45323.0</v>
      </c>
      <c r="BG267" s="7" t="s">
        <v>75</v>
      </c>
      <c r="BH267" s="7" t="s">
        <v>604</v>
      </c>
      <c r="BI267" s="15">
        <f t="shared" si="1"/>
        <v>31</v>
      </c>
      <c r="BJ267" s="15" t="str">
        <f t="shared" si="3"/>
        <v>18-35</v>
      </c>
      <c r="BK267" s="15"/>
      <c r="BL267" s="7"/>
      <c r="BM267" s="7"/>
      <c r="BN267" s="10" t="s">
        <v>80</v>
      </c>
    </row>
    <row r="268" ht="15.75" customHeight="1">
      <c r="A268" s="1">
        <v>292.0</v>
      </c>
      <c r="B268" s="2">
        <v>292.0</v>
      </c>
      <c r="C268" s="17">
        <v>45325.610341817126</v>
      </c>
      <c r="D268" s="18" t="s">
        <v>1009</v>
      </c>
      <c r="E268" s="19">
        <v>22629.0</v>
      </c>
      <c r="F268" s="18" t="s">
        <v>67</v>
      </c>
      <c r="G268" s="18" t="s">
        <v>1010</v>
      </c>
      <c r="H268" s="18">
        <v>1.164792755E9</v>
      </c>
      <c r="I268" s="18" t="s">
        <v>92</v>
      </c>
      <c r="J268" s="18" t="s">
        <v>109</v>
      </c>
      <c r="K268" s="18" t="s">
        <v>86</v>
      </c>
      <c r="L268" s="18">
        <v>49.0</v>
      </c>
      <c r="M268" s="18">
        <v>1.55</v>
      </c>
      <c r="N268" s="18" t="s">
        <v>75</v>
      </c>
      <c r="O268" s="18" t="s">
        <v>1011</v>
      </c>
      <c r="P268" s="18" t="s">
        <v>74</v>
      </c>
      <c r="Q268" s="18"/>
      <c r="R268" s="18" t="s">
        <v>73</v>
      </c>
      <c r="S268" s="18" t="s">
        <v>73</v>
      </c>
      <c r="T268" s="18" t="s">
        <v>73</v>
      </c>
      <c r="U268" s="18" t="s">
        <v>75</v>
      </c>
      <c r="V268" s="18" t="s">
        <v>1012</v>
      </c>
      <c r="W268" s="18" t="s">
        <v>694</v>
      </c>
      <c r="X268" s="79">
        <v>44265.0</v>
      </c>
      <c r="Y268" s="18" t="s">
        <v>73</v>
      </c>
      <c r="Z268" s="18"/>
      <c r="AA268" s="18" t="s">
        <v>75</v>
      </c>
      <c r="AB268" s="80" t="s">
        <v>76</v>
      </c>
      <c r="AC268" s="18" t="s">
        <v>77</v>
      </c>
      <c r="AD268" s="18" t="s">
        <v>78</v>
      </c>
      <c r="AE268" s="13" t="s">
        <v>138</v>
      </c>
      <c r="AF268" s="6" t="s">
        <v>151</v>
      </c>
      <c r="AG268" s="18" t="s">
        <v>81</v>
      </c>
      <c r="AH268" s="18" t="s">
        <v>96</v>
      </c>
      <c r="AI268" s="18" t="s">
        <v>951</v>
      </c>
      <c r="AJ268" s="18"/>
      <c r="AK268" s="18" t="s">
        <v>941</v>
      </c>
      <c r="AL268" s="18" t="s">
        <v>1013</v>
      </c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4">
        <v>45657.0</v>
      </c>
      <c r="BG268" s="7" t="s">
        <v>73</v>
      </c>
      <c r="BH268" s="7"/>
      <c r="BI268" s="15">
        <f t="shared" si="1"/>
        <v>63</v>
      </c>
      <c r="BJ268" s="15" t="str">
        <f t="shared" si="3"/>
        <v>&gt;55</v>
      </c>
      <c r="BK268" s="15"/>
      <c r="BL268" s="7"/>
      <c r="BM268" s="7"/>
      <c r="BN268" s="18" t="s">
        <v>151</v>
      </c>
    </row>
    <row r="269" ht="15.75" customHeight="1">
      <c r="A269" s="1">
        <v>293.0</v>
      </c>
      <c r="B269" s="2">
        <v>293.0</v>
      </c>
      <c r="C269" s="9">
        <v>45326.84337207176</v>
      </c>
      <c r="D269" s="10" t="s">
        <v>1014</v>
      </c>
      <c r="E269" s="11">
        <v>34414.0</v>
      </c>
      <c r="F269" s="10" t="s">
        <v>67</v>
      </c>
      <c r="G269" s="10" t="s">
        <v>1015</v>
      </c>
      <c r="H269" s="10">
        <v>1.14029881E9</v>
      </c>
      <c r="I269" s="10" t="s">
        <v>92</v>
      </c>
      <c r="J269" s="10" t="s">
        <v>85</v>
      </c>
      <c r="K269" s="10" t="s">
        <v>86</v>
      </c>
      <c r="L269" s="10">
        <v>57.0</v>
      </c>
      <c r="M269" s="10">
        <v>1.65</v>
      </c>
      <c r="N269" s="10" t="s">
        <v>75</v>
      </c>
      <c r="O269" s="10" t="s">
        <v>1016</v>
      </c>
      <c r="P269" s="10" t="s">
        <v>74</v>
      </c>
      <c r="Q269" s="10"/>
      <c r="R269" s="10" t="s">
        <v>73</v>
      </c>
      <c r="S269" s="10" t="s">
        <v>73</v>
      </c>
      <c r="T269" s="10" t="s">
        <v>73</v>
      </c>
      <c r="U269" s="10" t="s">
        <v>73</v>
      </c>
      <c r="V269" s="10"/>
      <c r="W269" s="10"/>
      <c r="X269" s="10"/>
      <c r="Y269" s="10" t="s">
        <v>73</v>
      </c>
      <c r="Z269" s="10"/>
      <c r="AA269" s="10" t="s">
        <v>73</v>
      </c>
      <c r="AB269" s="12"/>
      <c r="AC269" s="10" t="s">
        <v>77</v>
      </c>
      <c r="AD269" s="10" t="s">
        <v>1017</v>
      </c>
      <c r="AE269" s="13" t="s">
        <v>113</v>
      </c>
      <c r="AF269" s="6" t="s">
        <v>80</v>
      </c>
      <c r="AG269" s="10" t="s">
        <v>95</v>
      </c>
      <c r="AH269" s="10" t="s">
        <v>77</v>
      </c>
      <c r="AI269" s="10" t="s">
        <v>956</v>
      </c>
      <c r="AJ269" s="10"/>
      <c r="AK269" s="10" t="s">
        <v>941</v>
      </c>
      <c r="AL269" s="10" t="s">
        <v>971</v>
      </c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4">
        <v>45323.0</v>
      </c>
      <c r="BG269" s="7" t="s">
        <v>75</v>
      </c>
      <c r="BH269" s="7" t="s">
        <v>604</v>
      </c>
      <c r="BI269" s="15">
        <f t="shared" si="1"/>
        <v>30</v>
      </c>
      <c r="BJ269" s="15" t="str">
        <f t="shared" si="3"/>
        <v>18-35</v>
      </c>
      <c r="BK269" s="15"/>
      <c r="BL269" s="7"/>
      <c r="BM269" s="7"/>
      <c r="BN269" s="10" t="s">
        <v>80</v>
      </c>
    </row>
    <row r="270" ht="15.75" customHeight="1">
      <c r="A270" s="1">
        <v>294.0</v>
      </c>
      <c r="B270" s="2">
        <v>294.0</v>
      </c>
      <c r="C270" s="9">
        <v>45326.843423831015</v>
      </c>
      <c r="D270" s="10" t="s">
        <v>1018</v>
      </c>
      <c r="E270" s="11">
        <v>23890.0</v>
      </c>
      <c r="F270" s="10" t="s">
        <v>67</v>
      </c>
      <c r="G270" s="10" t="s">
        <v>1019</v>
      </c>
      <c r="H270" s="10">
        <v>1.151172805E9</v>
      </c>
      <c r="I270" s="10" t="s">
        <v>69</v>
      </c>
      <c r="J270" s="10" t="s">
        <v>146</v>
      </c>
      <c r="K270" s="10" t="s">
        <v>71</v>
      </c>
      <c r="L270" s="10">
        <v>63.0</v>
      </c>
      <c r="M270" s="10">
        <v>1.67</v>
      </c>
      <c r="N270" s="10" t="s">
        <v>73</v>
      </c>
      <c r="O270" s="10"/>
      <c r="P270" s="10" t="s">
        <v>74</v>
      </c>
      <c r="Q270" s="10"/>
      <c r="R270" s="10" t="s">
        <v>73</v>
      </c>
      <c r="S270" s="10" t="s">
        <v>73</v>
      </c>
      <c r="T270" s="10" t="s">
        <v>73</v>
      </c>
      <c r="U270" s="10" t="s">
        <v>73</v>
      </c>
      <c r="V270" s="10"/>
      <c r="W270" s="10"/>
      <c r="X270" s="10"/>
      <c r="Y270" s="10" t="s">
        <v>73</v>
      </c>
      <c r="Z270" s="10"/>
      <c r="AA270" s="10" t="s">
        <v>73</v>
      </c>
      <c r="AB270" s="12"/>
      <c r="AC270" s="10" t="s">
        <v>102</v>
      </c>
      <c r="AD270" s="10" t="s">
        <v>1017</v>
      </c>
      <c r="AE270" s="13" t="s">
        <v>138</v>
      </c>
      <c r="AF270" s="6" t="s">
        <v>151</v>
      </c>
      <c r="AG270" s="10" t="s">
        <v>95</v>
      </c>
      <c r="AH270" s="10" t="s">
        <v>82</v>
      </c>
      <c r="AI270" s="10"/>
      <c r="AJ270" s="10"/>
      <c r="AK270" s="10" t="s">
        <v>941</v>
      </c>
      <c r="AL270" s="10" t="s">
        <v>978</v>
      </c>
      <c r="AM270" s="10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4">
        <v>45657.0</v>
      </c>
      <c r="BG270" s="7" t="s">
        <v>75</v>
      </c>
      <c r="BH270" s="7" t="s">
        <v>604</v>
      </c>
      <c r="BI270" s="15">
        <f t="shared" si="1"/>
        <v>59</v>
      </c>
      <c r="BJ270" s="15" t="str">
        <f t="shared" si="3"/>
        <v>&gt;55</v>
      </c>
      <c r="BK270" s="15"/>
      <c r="BL270" s="7"/>
      <c r="BM270" s="7"/>
      <c r="BN270" s="10" t="s">
        <v>151</v>
      </c>
    </row>
    <row r="271" ht="15.75" customHeight="1">
      <c r="A271" s="1">
        <v>295.0</v>
      </c>
      <c r="B271" s="2">
        <v>295.0</v>
      </c>
      <c r="C271" s="9">
        <v>45326.84725141204</v>
      </c>
      <c r="D271" s="10" t="s">
        <v>1020</v>
      </c>
      <c r="E271" s="11">
        <v>22131.0</v>
      </c>
      <c r="F271" s="10" t="s">
        <v>106</v>
      </c>
      <c r="G271" s="10" t="s">
        <v>1021</v>
      </c>
      <c r="H271" s="10">
        <v>1.130170308E9</v>
      </c>
      <c r="I271" s="10" t="s">
        <v>92</v>
      </c>
      <c r="J271" s="10" t="s">
        <v>85</v>
      </c>
      <c r="K271" s="10" t="s">
        <v>86</v>
      </c>
      <c r="L271" s="10">
        <v>93.0</v>
      </c>
      <c r="M271" s="10">
        <v>1.76</v>
      </c>
      <c r="N271" s="10" t="s">
        <v>73</v>
      </c>
      <c r="O271" s="10"/>
      <c r="P271" s="10" t="s">
        <v>74</v>
      </c>
      <c r="Q271" s="10"/>
      <c r="R271" s="10" t="s">
        <v>73</v>
      </c>
      <c r="S271" s="10" t="s">
        <v>73</v>
      </c>
      <c r="T271" s="10" t="s">
        <v>73</v>
      </c>
      <c r="U271" s="10" t="s">
        <v>75</v>
      </c>
      <c r="V271" s="10" t="s">
        <v>1004</v>
      </c>
      <c r="W271" s="10" t="s">
        <v>694</v>
      </c>
      <c r="X271" s="74">
        <v>32874.0</v>
      </c>
      <c r="Y271" s="10" t="s">
        <v>73</v>
      </c>
      <c r="Z271" s="10"/>
      <c r="AA271" s="10" t="s">
        <v>75</v>
      </c>
      <c r="AB271" s="77" t="s">
        <v>76</v>
      </c>
      <c r="AC271" s="10" t="s">
        <v>82</v>
      </c>
      <c r="AD271" s="10" t="s">
        <v>78</v>
      </c>
      <c r="AE271" s="13" t="s">
        <v>138</v>
      </c>
      <c r="AF271" s="6" t="s">
        <v>151</v>
      </c>
      <c r="AG271" s="10" t="s">
        <v>82</v>
      </c>
      <c r="AH271" s="10" t="s">
        <v>82</v>
      </c>
      <c r="AI271" s="10"/>
      <c r="AJ271" s="10"/>
      <c r="AK271" s="10" t="s">
        <v>941</v>
      </c>
      <c r="AL271" s="10" t="s">
        <v>978</v>
      </c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4">
        <v>45657.0</v>
      </c>
      <c r="BG271" s="7" t="s">
        <v>75</v>
      </c>
      <c r="BH271" s="7" t="s">
        <v>604</v>
      </c>
      <c r="BI271" s="15">
        <f t="shared" si="1"/>
        <v>64</v>
      </c>
      <c r="BJ271" s="15" t="str">
        <f t="shared" si="3"/>
        <v>&gt;55</v>
      </c>
      <c r="BK271" s="15"/>
      <c r="BL271" s="7"/>
      <c r="BM271" s="7"/>
      <c r="BN271" s="10" t="s">
        <v>151</v>
      </c>
    </row>
    <row r="272" ht="15.75" customHeight="1">
      <c r="A272" s="1">
        <v>296.0</v>
      </c>
      <c r="B272" s="2">
        <v>296.0</v>
      </c>
      <c r="C272" s="9">
        <v>45327.714964432875</v>
      </c>
      <c r="D272" s="10" t="s">
        <v>1022</v>
      </c>
      <c r="E272" s="11">
        <v>35175.0</v>
      </c>
      <c r="F272" s="10" t="s">
        <v>67</v>
      </c>
      <c r="G272" s="10" t="s">
        <v>1023</v>
      </c>
      <c r="H272" s="10">
        <v>1.34574892E8</v>
      </c>
      <c r="I272" s="10" t="s">
        <v>69</v>
      </c>
      <c r="J272" s="10" t="s">
        <v>109</v>
      </c>
      <c r="K272" s="10" t="s">
        <v>71</v>
      </c>
      <c r="L272" s="10">
        <v>59.0</v>
      </c>
      <c r="M272" s="10">
        <v>1.7</v>
      </c>
      <c r="N272" s="10" t="s">
        <v>73</v>
      </c>
      <c r="O272" s="10"/>
      <c r="P272" s="10" t="s">
        <v>74</v>
      </c>
      <c r="Q272" s="10"/>
      <c r="R272" s="10" t="s">
        <v>73</v>
      </c>
      <c r="S272" s="10" t="s">
        <v>73</v>
      </c>
      <c r="T272" s="10" t="s">
        <v>73</v>
      </c>
      <c r="U272" s="10" t="s">
        <v>73</v>
      </c>
      <c r="V272" s="10"/>
      <c r="W272" s="10"/>
      <c r="X272" s="10"/>
      <c r="Y272" s="10" t="s">
        <v>75</v>
      </c>
      <c r="Z272" s="23" t="s">
        <v>929</v>
      </c>
      <c r="AA272" s="10" t="s">
        <v>75</v>
      </c>
      <c r="AB272" s="77" t="s">
        <v>76</v>
      </c>
      <c r="AC272" s="10" t="s">
        <v>77</v>
      </c>
      <c r="AD272" s="10" t="s">
        <v>1017</v>
      </c>
      <c r="AE272" s="13" t="s">
        <v>113</v>
      </c>
      <c r="AF272" s="6" t="s">
        <v>80</v>
      </c>
      <c r="AG272" s="10" t="s">
        <v>95</v>
      </c>
      <c r="AH272" s="10" t="s">
        <v>77</v>
      </c>
      <c r="AI272" s="10" t="s">
        <v>934</v>
      </c>
      <c r="AJ272" s="10"/>
      <c r="AK272" s="10" t="s">
        <v>941</v>
      </c>
      <c r="AL272" s="10" t="s">
        <v>975</v>
      </c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4">
        <v>45323.0</v>
      </c>
      <c r="BG272" s="7" t="s">
        <v>75</v>
      </c>
      <c r="BH272" s="7" t="s">
        <v>604</v>
      </c>
      <c r="BI272" s="15">
        <f t="shared" si="1"/>
        <v>28</v>
      </c>
      <c r="BJ272" s="15" t="str">
        <f t="shared" si="3"/>
        <v>18-35</v>
      </c>
      <c r="BK272" s="15"/>
      <c r="BL272" s="7"/>
      <c r="BM272" s="7"/>
      <c r="BN272" s="10" t="s">
        <v>80</v>
      </c>
    </row>
    <row r="273" ht="15.75" customHeight="1">
      <c r="A273" s="1">
        <v>297.0</v>
      </c>
      <c r="B273" s="66">
        <v>297.0</v>
      </c>
      <c r="C273" s="67">
        <v>45328.806294236114</v>
      </c>
      <c r="D273" s="42" t="s">
        <v>1024</v>
      </c>
      <c r="E273" s="68">
        <v>36643.0</v>
      </c>
      <c r="F273" s="42" t="s">
        <v>67</v>
      </c>
      <c r="G273" s="42" t="s">
        <v>137</v>
      </c>
      <c r="H273" s="42">
        <v>1.124798982E9</v>
      </c>
      <c r="I273" s="42" t="s">
        <v>449</v>
      </c>
      <c r="J273" s="42" t="s">
        <v>85</v>
      </c>
      <c r="K273" s="42" t="s">
        <v>86</v>
      </c>
      <c r="L273" s="42">
        <v>64.0</v>
      </c>
      <c r="M273" s="42">
        <v>1.6</v>
      </c>
      <c r="N273" s="42" t="s">
        <v>73</v>
      </c>
      <c r="O273" s="42"/>
      <c r="P273" s="42" t="s">
        <v>178</v>
      </c>
      <c r="Q273" s="42"/>
      <c r="R273" s="42" t="s">
        <v>73</v>
      </c>
      <c r="S273" s="42" t="s">
        <v>73</v>
      </c>
      <c r="T273" s="42" t="s">
        <v>73</v>
      </c>
      <c r="U273" s="42" t="s">
        <v>73</v>
      </c>
      <c r="V273" s="42"/>
      <c r="W273" s="42"/>
      <c r="X273" s="42"/>
      <c r="Y273" s="42" t="s">
        <v>73</v>
      </c>
      <c r="Z273" s="42"/>
      <c r="AA273" s="42" t="s">
        <v>75</v>
      </c>
      <c r="AB273" s="69" t="s">
        <v>484</v>
      </c>
      <c r="AC273" s="42" t="s">
        <v>95</v>
      </c>
      <c r="AD273" s="42" t="s">
        <v>94</v>
      </c>
      <c r="AE273" s="81" t="s">
        <v>205</v>
      </c>
      <c r="AF273" s="6" t="s">
        <v>187</v>
      </c>
      <c r="AG273" s="42" t="s">
        <v>77</v>
      </c>
      <c r="AH273" s="42" t="s">
        <v>102</v>
      </c>
      <c r="AI273" s="42" t="s">
        <v>934</v>
      </c>
      <c r="AJ273" s="42"/>
      <c r="AK273" s="42" t="s">
        <v>931</v>
      </c>
      <c r="AL273" s="42" t="s">
        <v>895</v>
      </c>
      <c r="AM273" s="42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14">
        <v>45657.0</v>
      </c>
      <c r="BG273" s="7" t="s">
        <v>73</v>
      </c>
      <c r="BH273" s="7"/>
      <c r="BI273" s="15">
        <f t="shared" si="1"/>
        <v>24</v>
      </c>
      <c r="BJ273" s="15" t="str">
        <f t="shared" si="3"/>
        <v>18-35</v>
      </c>
      <c r="BK273" s="15"/>
      <c r="BL273" s="7"/>
      <c r="BM273" s="7"/>
      <c r="BN273" s="29" t="s">
        <v>187</v>
      </c>
    </row>
    <row r="274" ht="15.75" customHeight="1">
      <c r="A274" s="1">
        <v>298.0</v>
      </c>
      <c r="B274" s="2">
        <v>298.0</v>
      </c>
      <c r="C274" s="32">
        <v>45328.81191005787</v>
      </c>
      <c r="D274" s="33" t="s">
        <v>1025</v>
      </c>
      <c r="E274" s="34">
        <v>36849.0</v>
      </c>
      <c r="F274" s="33" t="s">
        <v>67</v>
      </c>
      <c r="G274" s="33" t="s">
        <v>1026</v>
      </c>
      <c r="H274" s="33">
        <v>1.535211908E9</v>
      </c>
      <c r="I274" s="33" t="s">
        <v>69</v>
      </c>
      <c r="J274" s="33" t="s">
        <v>85</v>
      </c>
      <c r="K274" s="33" t="s">
        <v>71</v>
      </c>
      <c r="L274" s="33">
        <v>75.0</v>
      </c>
      <c r="M274" s="33">
        <v>1.6</v>
      </c>
      <c r="N274" s="33" t="s">
        <v>73</v>
      </c>
      <c r="O274" s="33"/>
      <c r="P274" s="33" t="s">
        <v>329</v>
      </c>
      <c r="Q274" s="33"/>
      <c r="R274" s="33" t="s">
        <v>73</v>
      </c>
      <c r="S274" s="33" t="s">
        <v>73</v>
      </c>
      <c r="T274" s="33" t="s">
        <v>73</v>
      </c>
      <c r="U274" s="33" t="s">
        <v>73</v>
      </c>
      <c r="V274" s="33"/>
      <c r="W274" s="33"/>
      <c r="X274" s="33"/>
      <c r="Y274" s="33" t="s">
        <v>73</v>
      </c>
      <c r="Z274" s="33"/>
      <c r="AA274" s="33" t="s">
        <v>73</v>
      </c>
      <c r="AB274" s="35"/>
      <c r="AC274" s="33" t="s">
        <v>77</v>
      </c>
      <c r="AD274" s="33" t="s">
        <v>78</v>
      </c>
      <c r="AE274" s="13" t="s">
        <v>138</v>
      </c>
      <c r="AF274" s="6" t="s">
        <v>187</v>
      </c>
      <c r="AG274" s="33" t="s">
        <v>81</v>
      </c>
      <c r="AH274" s="33" t="s">
        <v>102</v>
      </c>
      <c r="AI274" s="33" t="s">
        <v>999</v>
      </c>
      <c r="AJ274" s="33"/>
      <c r="AK274" s="33" t="s">
        <v>941</v>
      </c>
      <c r="AL274" s="33" t="s">
        <v>975</v>
      </c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  <c r="BD274" s="33"/>
      <c r="BE274" s="33"/>
      <c r="BF274" s="14">
        <v>45657.0</v>
      </c>
      <c r="BG274" s="7" t="s">
        <v>73</v>
      </c>
      <c r="BH274" s="7"/>
      <c r="BI274" s="15">
        <f t="shared" si="1"/>
        <v>24</v>
      </c>
      <c r="BJ274" s="15" t="str">
        <f t="shared" si="3"/>
        <v>18-35</v>
      </c>
      <c r="BK274" s="15"/>
      <c r="BL274" s="7"/>
      <c r="BM274" s="7"/>
      <c r="BN274" s="33" t="s">
        <v>187</v>
      </c>
    </row>
    <row r="275" ht="15.75" customHeight="1">
      <c r="A275" s="1">
        <v>299.0</v>
      </c>
      <c r="B275" s="2">
        <v>299.0</v>
      </c>
      <c r="C275" s="17">
        <v>45328.81365511574</v>
      </c>
      <c r="D275" s="18" t="s">
        <v>1027</v>
      </c>
      <c r="E275" s="19">
        <v>32772.0</v>
      </c>
      <c r="F275" s="18" t="s">
        <v>67</v>
      </c>
      <c r="G275" s="18" t="s">
        <v>1028</v>
      </c>
      <c r="H275" s="18">
        <v>1.144130172E9</v>
      </c>
      <c r="I275" s="18" t="s">
        <v>69</v>
      </c>
      <c r="J275" s="18" t="s">
        <v>85</v>
      </c>
      <c r="K275" s="18" t="s">
        <v>134</v>
      </c>
      <c r="L275" s="18">
        <v>44.0</v>
      </c>
      <c r="M275" s="18" t="s">
        <v>419</v>
      </c>
      <c r="N275" s="18" t="s">
        <v>75</v>
      </c>
      <c r="O275" s="18" t="s">
        <v>1029</v>
      </c>
      <c r="P275" s="18" t="s">
        <v>74</v>
      </c>
      <c r="Q275" s="18"/>
      <c r="R275" s="18" t="s">
        <v>73</v>
      </c>
      <c r="S275" s="18" t="s">
        <v>75</v>
      </c>
      <c r="T275" s="18" t="s">
        <v>73</v>
      </c>
      <c r="U275" s="18" t="s">
        <v>75</v>
      </c>
      <c r="V275" s="18" t="s">
        <v>1030</v>
      </c>
      <c r="W275" s="18" t="s">
        <v>694</v>
      </c>
      <c r="X275" s="79">
        <v>45212.0</v>
      </c>
      <c r="Y275" s="18" t="s">
        <v>75</v>
      </c>
      <c r="Z275" s="18" t="s">
        <v>483</v>
      </c>
      <c r="AA275" s="18" t="s">
        <v>73</v>
      </c>
      <c r="AB275" s="20"/>
      <c r="AC275" s="18" t="s">
        <v>82</v>
      </c>
      <c r="AD275" s="18" t="s">
        <v>78</v>
      </c>
      <c r="AE275" s="13" t="s">
        <v>205</v>
      </c>
      <c r="AF275" s="6" t="s">
        <v>80</v>
      </c>
      <c r="AG275" s="18" t="s">
        <v>95</v>
      </c>
      <c r="AH275" s="18" t="s">
        <v>82</v>
      </c>
      <c r="AI275" s="18"/>
      <c r="AJ275" s="18"/>
      <c r="AK275" s="18" t="s">
        <v>912</v>
      </c>
      <c r="AL275" s="18" t="s">
        <v>895</v>
      </c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4">
        <v>45657.0</v>
      </c>
      <c r="BG275" s="7" t="s">
        <v>73</v>
      </c>
      <c r="BH275" s="7"/>
      <c r="BI275" s="15">
        <f t="shared" si="1"/>
        <v>35</v>
      </c>
      <c r="BJ275" s="15" t="str">
        <f t="shared" si="3"/>
        <v>18-35</v>
      </c>
      <c r="BK275" s="15"/>
      <c r="BL275" s="7"/>
      <c r="BM275" s="7"/>
      <c r="BN275" s="18" t="s">
        <v>80</v>
      </c>
    </row>
    <row r="276" ht="15.75" customHeight="1">
      <c r="A276" s="1">
        <v>300.0</v>
      </c>
      <c r="B276" s="2">
        <v>300.0</v>
      </c>
      <c r="C276" s="17">
        <v>45329.53742988426</v>
      </c>
      <c r="D276" s="18" t="s">
        <v>1031</v>
      </c>
      <c r="E276" s="19">
        <v>34121.0</v>
      </c>
      <c r="F276" s="18" t="s">
        <v>67</v>
      </c>
      <c r="G276" s="18" t="s">
        <v>1032</v>
      </c>
      <c r="H276" s="18">
        <v>1.167131561E9</v>
      </c>
      <c r="I276" s="18" t="s">
        <v>92</v>
      </c>
      <c r="J276" s="18" t="s">
        <v>85</v>
      </c>
      <c r="K276" s="18" t="s">
        <v>166</v>
      </c>
      <c r="L276" s="18">
        <v>63.0</v>
      </c>
      <c r="M276" s="18">
        <v>1.54</v>
      </c>
      <c r="N276" s="18" t="s">
        <v>73</v>
      </c>
      <c r="O276" s="18"/>
      <c r="P276" s="18" t="s">
        <v>74</v>
      </c>
      <c r="Q276" s="18"/>
      <c r="R276" s="18" t="s">
        <v>73</v>
      </c>
      <c r="S276" s="18" t="s">
        <v>73</v>
      </c>
      <c r="T276" s="18" t="s">
        <v>73</v>
      </c>
      <c r="U276" s="18" t="s">
        <v>73</v>
      </c>
      <c r="V276" s="18"/>
      <c r="W276" s="18"/>
      <c r="X276" s="18"/>
      <c r="Y276" s="18" t="s">
        <v>73</v>
      </c>
      <c r="Z276" s="18"/>
      <c r="AA276" s="18" t="s">
        <v>73</v>
      </c>
      <c r="AB276" s="20"/>
      <c r="AC276" s="18" t="s">
        <v>77</v>
      </c>
      <c r="AD276" s="18" t="s">
        <v>94</v>
      </c>
      <c r="AE276" s="13" t="s">
        <v>113</v>
      </c>
      <c r="AF276" s="6" t="s">
        <v>187</v>
      </c>
      <c r="AG276" s="18" t="s">
        <v>95</v>
      </c>
      <c r="AH276" s="18" t="s">
        <v>82</v>
      </c>
      <c r="AI276" s="18"/>
      <c r="AJ276" s="18"/>
      <c r="AK276" s="18" t="s">
        <v>923</v>
      </c>
      <c r="AL276" s="18" t="s">
        <v>895</v>
      </c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4">
        <v>45657.0</v>
      </c>
      <c r="BG276" s="7" t="s">
        <v>73</v>
      </c>
      <c r="BH276" s="7"/>
      <c r="BI276" s="15">
        <f t="shared" si="1"/>
        <v>31</v>
      </c>
      <c r="BJ276" s="15" t="str">
        <f t="shared" si="3"/>
        <v>18-35</v>
      </c>
      <c r="BK276" s="15"/>
      <c r="BL276" s="7"/>
      <c r="BM276" s="7"/>
      <c r="BN276" s="18" t="s">
        <v>187</v>
      </c>
    </row>
    <row r="277" ht="15.75" customHeight="1">
      <c r="A277" s="1">
        <v>301.0</v>
      </c>
      <c r="B277" s="2">
        <v>301.0</v>
      </c>
      <c r="C277" s="17">
        <v>45329.56252046296</v>
      </c>
      <c r="D277" s="18" t="s">
        <v>1033</v>
      </c>
      <c r="E277" s="19">
        <v>35062.0</v>
      </c>
      <c r="F277" s="18" t="s">
        <v>67</v>
      </c>
      <c r="G277" s="18" t="s">
        <v>1034</v>
      </c>
      <c r="H277" s="18">
        <v>2.355507977E9</v>
      </c>
      <c r="I277" s="18" t="s">
        <v>449</v>
      </c>
      <c r="J277" s="18" t="s">
        <v>85</v>
      </c>
      <c r="K277" s="18" t="s">
        <v>71</v>
      </c>
      <c r="L277" s="18">
        <v>69.0</v>
      </c>
      <c r="M277" s="18">
        <v>1.62</v>
      </c>
      <c r="N277" s="18" t="s">
        <v>73</v>
      </c>
      <c r="O277" s="18"/>
      <c r="P277" s="18" t="s">
        <v>74</v>
      </c>
      <c r="Q277" s="18"/>
      <c r="R277" s="18" t="s">
        <v>73</v>
      </c>
      <c r="S277" s="18" t="s">
        <v>73</v>
      </c>
      <c r="T277" s="18" t="s">
        <v>73</v>
      </c>
      <c r="U277" s="18" t="s">
        <v>73</v>
      </c>
      <c r="V277" s="18"/>
      <c r="W277" s="18"/>
      <c r="X277" s="18"/>
      <c r="Y277" s="18" t="s">
        <v>75</v>
      </c>
      <c r="Z277" s="26" t="s">
        <v>929</v>
      </c>
      <c r="AA277" s="18" t="s">
        <v>75</v>
      </c>
      <c r="AB277" s="80" t="s">
        <v>76</v>
      </c>
      <c r="AC277" s="18" t="s">
        <v>95</v>
      </c>
      <c r="AD277" s="18" t="s">
        <v>94</v>
      </c>
      <c r="AE277" s="13" t="s">
        <v>113</v>
      </c>
      <c r="AF277" s="6" t="s">
        <v>80</v>
      </c>
      <c r="AG277" s="18" t="s">
        <v>95</v>
      </c>
      <c r="AH277" s="18" t="s">
        <v>102</v>
      </c>
      <c r="AI277" s="18" t="s">
        <v>1035</v>
      </c>
      <c r="AJ277" s="18"/>
      <c r="AK277" s="18" t="s">
        <v>931</v>
      </c>
      <c r="AL277" s="18" t="s">
        <v>895</v>
      </c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4">
        <v>45657.0</v>
      </c>
      <c r="BG277" s="7" t="s">
        <v>73</v>
      </c>
      <c r="BH277" s="7"/>
      <c r="BI277" s="15">
        <f t="shared" si="1"/>
        <v>29</v>
      </c>
      <c r="BJ277" s="15" t="str">
        <f t="shared" si="3"/>
        <v>18-35</v>
      </c>
      <c r="BK277" s="15"/>
      <c r="BL277" s="7"/>
      <c r="BM277" s="7"/>
      <c r="BN277" s="18" t="s">
        <v>80</v>
      </c>
    </row>
    <row r="278" ht="15.75" customHeight="1">
      <c r="A278" s="1">
        <v>302.0</v>
      </c>
      <c r="B278" s="2">
        <v>302.0</v>
      </c>
      <c r="C278" s="37">
        <v>45329.680770949075</v>
      </c>
      <c r="D278" s="38" t="s">
        <v>1036</v>
      </c>
      <c r="E278" s="39">
        <v>27516.0</v>
      </c>
      <c r="F278" s="38" t="s">
        <v>67</v>
      </c>
      <c r="G278" s="38" t="s">
        <v>1037</v>
      </c>
      <c r="H278" s="38">
        <v>1.135978158E9</v>
      </c>
      <c r="I278" s="38" t="s">
        <v>92</v>
      </c>
      <c r="J278" s="38" t="s">
        <v>85</v>
      </c>
      <c r="K278" s="38" t="s">
        <v>71</v>
      </c>
      <c r="L278" s="38">
        <v>68.0</v>
      </c>
      <c r="M278" s="38" t="s">
        <v>194</v>
      </c>
      <c r="N278" s="38" t="s">
        <v>73</v>
      </c>
      <c r="O278" s="38"/>
      <c r="P278" s="38" t="s">
        <v>329</v>
      </c>
      <c r="Q278" s="38"/>
      <c r="R278" s="38" t="s">
        <v>75</v>
      </c>
      <c r="S278" s="38" t="s">
        <v>73</v>
      </c>
      <c r="T278" s="38" t="s">
        <v>73</v>
      </c>
      <c r="U278" s="38" t="s">
        <v>73</v>
      </c>
      <c r="V278" s="38"/>
      <c r="W278" s="38"/>
      <c r="X278" s="38"/>
      <c r="Y278" s="38" t="s">
        <v>73</v>
      </c>
      <c r="Z278" s="38"/>
      <c r="AA278" s="38" t="s">
        <v>75</v>
      </c>
      <c r="AB278" s="82" t="s">
        <v>76</v>
      </c>
      <c r="AC278" s="38" t="s">
        <v>77</v>
      </c>
      <c r="AD278" s="38" t="s">
        <v>94</v>
      </c>
      <c r="AE278" s="13" t="s">
        <v>79</v>
      </c>
      <c r="AF278" s="6" t="s">
        <v>80</v>
      </c>
      <c r="AG278" s="38" t="s">
        <v>95</v>
      </c>
      <c r="AH278" s="38" t="s">
        <v>77</v>
      </c>
      <c r="AI278" s="38" t="s">
        <v>934</v>
      </c>
      <c r="AJ278" s="38"/>
      <c r="AK278" s="38" t="s">
        <v>931</v>
      </c>
      <c r="AL278" s="38" t="s">
        <v>895</v>
      </c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14">
        <v>45657.0</v>
      </c>
      <c r="BG278" s="7" t="s">
        <v>73</v>
      </c>
      <c r="BH278" s="7"/>
      <c r="BI278" s="15">
        <f t="shared" si="1"/>
        <v>49</v>
      </c>
      <c r="BJ278" s="15" t="str">
        <f t="shared" si="3"/>
        <v>35-55</v>
      </c>
      <c r="BK278" s="15"/>
      <c r="BL278" s="7"/>
      <c r="BM278" s="7"/>
      <c r="BN278" s="38" t="s">
        <v>80</v>
      </c>
    </row>
    <row r="279" ht="15.75" customHeight="1">
      <c r="A279" s="1">
        <v>303.0</v>
      </c>
      <c r="B279" s="2">
        <v>303.0</v>
      </c>
      <c r="C279" s="67">
        <v>45330.401042048616</v>
      </c>
      <c r="D279" s="42" t="s">
        <v>1038</v>
      </c>
      <c r="E279" s="68">
        <v>36504.0</v>
      </c>
      <c r="F279" s="42" t="s">
        <v>67</v>
      </c>
      <c r="G279" s="42" t="s">
        <v>1039</v>
      </c>
      <c r="H279" s="42">
        <v>1.150968048E9</v>
      </c>
      <c r="I279" s="42" t="s">
        <v>449</v>
      </c>
      <c r="J279" s="42" t="s">
        <v>85</v>
      </c>
      <c r="K279" s="42" t="s">
        <v>134</v>
      </c>
      <c r="L279" s="42">
        <v>73.0</v>
      </c>
      <c r="M279" s="42" t="s">
        <v>147</v>
      </c>
      <c r="N279" s="42" t="s">
        <v>73</v>
      </c>
      <c r="O279" s="42"/>
      <c r="P279" s="42" t="s">
        <v>74</v>
      </c>
      <c r="Q279" s="42"/>
      <c r="R279" s="42" t="s">
        <v>73</v>
      </c>
      <c r="S279" s="42" t="s">
        <v>73</v>
      </c>
      <c r="T279" s="42" t="s">
        <v>73</v>
      </c>
      <c r="U279" s="42" t="s">
        <v>73</v>
      </c>
      <c r="V279" s="42"/>
      <c r="W279" s="42"/>
      <c r="X279" s="42"/>
      <c r="Y279" s="42" t="s">
        <v>73</v>
      </c>
      <c r="Z279" s="42"/>
      <c r="AA279" s="42" t="s">
        <v>75</v>
      </c>
      <c r="AB279" s="83" t="s">
        <v>76</v>
      </c>
      <c r="AC279" s="42" t="s">
        <v>77</v>
      </c>
      <c r="AD279" s="42" t="s">
        <v>94</v>
      </c>
      <c r="AE279" s="13" t="s">
        <v>113</v>
      </c>
      <c r="AF279" s="6" t="s">
        <v>80</v>
      </c>
      <c r="AG279" s="42" t="s">
        <v>95</v>
      </c>
      <c r="AH279" s="42" t="s">
        <v>82</v>
      </c>
      <c r="AI279" s="42"/>
      <c r="AJ279" s="42"/>
      <c r="AK279" s="42" t="s">
        <v>912</v>
      </c>
      <c r="AL279" s="42" t="s">
        <v>895</v>
      </c>
      <c r="AM279" s="42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4">
        <v>45657.0</v>
      </c>
      <c r="BG279" s="7" t="s">
        <v>73</v>
      </c>
      <c r="BH279" s="7" t="s">
        <v>190</v>
      </c>
      <c r="BI279" s="15">
        <f t="shared" si="1"/>
        <v>25</v>
      </c>
      <c r="BJ279" s="15" t="str">
        <f t="shared" si="3"/>
        <v>18-35</v>
      </c>
      <c r="BK279" s="15"/>
      <c r="BL279" s="7"/>
      <c r="BM279" s="7"/>
      <c r="BN279" s="42" t="s">
        <v>80</v>
      </c>
    </row>
    <row r="280" ht="15.75" customHeight="1">
      <c r="A280" s="1">
        <v>304.0</v>
      </c>
      <c r="B280" s="2">
        <v>304.0</v>
      </c>
      <c r="C280" s="17">
        <v>45330.506068877316</v>
      </c>
      <c r="D280" s="18" t="s">
        <v>1040</v>
      </c>
      <c r="E280" s="19">
        <v>33966.0</v>
      </c>
      <c r="F280" s="18" t="s">
        <v>67</v>
      </c>
      <c r="G280" s="18" t="s">
        <v>1041</v>
      </c>
      <c r="H280" s="18">
        <v>1.173653301E9</v>
      </c>
      <c r="I280" s="18" t="s">
        <v>449</v>
      </c>
      <c r="J280" s="18" t="s">
        <v>85</v>
      </c>
      <c r="K280" s="18" t="s">
        <v>71</v>
      </c>
      <c r="L280" s="18">
        <v>54.0</v>
      </c>
      <c r="M280" s="18">
        <v>1.53</v>
      </c>
      <c r="N280" s="18" t="s">
        <v>73</v>
      </c>
      <c r="O280" s="18"/>
      <c r="P280" s="18" t="s">
        <v>74</v>
      </c>
      <c r="Q280" s="18"/>
      <c r="R280" s="18" t="s">
        <v>73</v>
      </c>
      <c r="S280" s="18" t="s">
        <v>73</v>
      </c>
      <c r="T280" s="18" t="s">
        <v>73</v>
      </c>
      <c r="U280" s="18" t="s">
        <v>73</v>
      </c>
      <c r="V280" s="18"/>
      <c r="W280" s="18"/>
      <c r="X280" s="18"/>
      <c r="Y280" s="18" t="s">
        <v>73</v>
      </c>
      <c r="Z280" s="18"/>
      <c r="AA280" s="18" t="s">
        <v>73</v>
      </c>
      <c r="AB280" s="20"/>
      <c r="AC280" s="18" t="s">
        <v>102</v>
      </c>
      <c r="AD280" s="18" t="s">
        <v>94</v>
      </c>
      <c r="AE280" s="13" t="s">
        <v>131</v>
      </c>
      <c r="AF280" s="6" t="s">
        <v>80</v>
      </c>
      <c r="AG280" s="18" t="s">
        <v>95</v>
      </c>
      <c r="AH280" s="18" t="s">
        <v>102</v>
      </c>
      <c r="AI280" s="18" t="s">
        <v>934</v>
      </c>
      <c r="AJ280" s="18"/>
      <c r="AK280" s="18" t="s">
        <v>931</v>
      </c>
      <c r="AL280" s="18" t="s">
        <v>895</v>
      </c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4">
        <v>45657.0</v>
      </c>
      <c r="BG280" s="7" t="s">
        <v>73</v>
      </c>
      <c r="BH280" s="7"/>
      <c r="BI280" s="15">
        <f t="shared" si="1"/>
        <v>32</v>
      </c>
      <c r="BJ280" s="15" t="str">
        <f t="shared" si="3"/>
        <v>18-35</v>
      </c>
      <c r="BK280" s="15"/>
      <c r="BL280" s="7"/>
      <c r="BM280" s="7"/>
      <c r="BN280" s="18" t="s">
        <v>80</v>
      </c>
    </row>
    <row r="281" ht="15.75" customHeight="1">
      <c r="A281" s="1">
        <v>305.0</v>
      </c>
      <c r="B281" s="2">
        <v>305.0</v>
      </c>
      <c r="C281" s="9">
        <v>45331.428730115746</v>
      </c>
      <c r="D281" s="10" t="s">
        <v>1042</v>
      </c>
      <c r="E281" s="11">
        <v>22356.0</v>
      </c>
      <c r="F281" s="10" t="s">
        <v>67</v>
      </c>
      <c r="G281" s="10" t="s">
        <v>1043</v>
      </c>
      <c r="H281" s="10">
        <v>5.49113359153E12</v>
      </c>
      <c r="I281" s="10" t="s">
        <v>69</v>
      </c>
      <c r="J281" s="10" t="s">
        <v>109</v>
      </c>
      <c r="K281" s="10" t="s">
        <v>134</v>
      </c>
      <c r="L281" s="10">
        <v>75.0</v>
      </c>
      <c r="M281" s="10">
        <v>1.63</v>
      </c>
      <c r="N281" s="10" t="s">
        <v>73</v>
      </c>
      <c r="O281" s="10"/>
      <c r="P281" s="10" t="s">
        <v>74</v>
      </c>
      <c r="Q281" s="10"/>
      <c r="R281" s="10" t="s">
        <v>73</v>
      </c>
      <c r="S281" s="10" t="s">
        <v>73</v>
      </c>
      <c r="T281" s="10" t="s">
        <v>73</v>
      </c>
      <c r="U281" s="10" t="s">
        <v>73</v>
      </c>
      <c r="V281" s="10"/>
      <c r="W281" s="10"/>
      <c r="X281" s="10"/>
      <c r="Y281" s="10" t="s">
        <v>73</v>
      </c>
      <c r="Z281" s="10"/>
      <c r="AA281" s="10" t="s">
        <v>75</v>
      </c>
      <c r="AB281" s="12" t="s">
        <v>484</v>
      </c>
      <c r="AC281" s="10" t="s">
        <v>77</v>
      </c>
      <c r="AD281" s="10" t="s">
        <v>78</v>
      </c>
      <c r="AE281" s="13" t="s">
        <v>138</v>
      </c>
      <c r="AF281" s="6" t="s">
        <v>80</v>
      </c>
      <c r="AG281" s="10" t="s">
        <v>82</v>
      </c>
      <c r="AH281" s="10" t="s">
        <v>102</v>
      </c>
      <c r="AI281" s="10" t="s">
        <v>911</v>
      </c>
      <c r="AJ281" s="10"/>
      <c r="AK281" s="10" t="s">
        <v>941</v>
      </c>
      <c r="AL281" s="10" t="s">
        <v>975</v>
      </c>
      <c r="AM281" s="10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4">
        <v>45352.0</v>
      </c>
      <c r="BG281" s="7" t="s">
        <v>75</v>
      </c>
      <c r="BH281" s="7" t="s">
        <v>604</v>
      </c>
      <c r="BI281" s="15">
        <f t="shared" si="1"/>
        <v>63</v>
      </c>
      <c r="BJ281" s="15" t="str">
        <f t="shared" si="3"/>
        <v>&gt;55</v>
      </c>
      <c r="BK281" s="15"/>
      <c r="BL281" s="7"/>
      <c r="BM281" s="7"/>
      <c r="BN281" s="10" t="s">
        <v>80</v>
      </c>
    </row>
    <row r="282" ht="15.75" customHeight="1">
      <c r="A282" s="1">
        <v>306.0</v>
      </c>
      <c r="B282" s="2">
        <v>306.0</v>
      </c>
      <c r="C282" s="17">
        <v>45331.51399900463</v>
      </c>
      <c r="D282" s="18" t="s">
        <v>1044</v>
      </c>
      <c r="E282" s="19">
        <v>36996.0</v>
      </c>
      <c r="F282" s="18" t="s">
        <v>67</v>
      </c>
      <c r="G282" s="18" t="s">
        <v>1045</v>
      </c>
      <c r="H282" s="18">
        <v>2.2496978E7</v>
      </c>
      <c r="I282" s="18" t="s">
        <v>449</v>
      </c>
      <c r="J282" s="18" t="s">
        <v>85</v>
      </c>
      <c r="K282" s="18" t="s">
        <v>71</v>
      </c>
      <c r="L282" s="18">
        <v>155.0</v>
      </c>
      <c r="M282" s="18">
        <v>1.5</v>
      </c>
      <c r="N282" s="18" t="s">
        <v>73</v>
      </c>
      <c r="O282" s="18"/>
      <c r="P282" s="18" t="s">
        <v>74</v>
      </c>
      <c r="Q282" s="18"/>
      <c r="R282" s="18" t="s">
        <v>73</v>
      </c>
      <c r="S282" s="18" t="s">
        <v>73</v>
      </c>
      <c r="T282" s="18" t="s">
        <v>73</v>
      </c>
      <c r="U282" s="18" t="s">
        <v>73</v>
      </c>
      <c r="V282" s="18"/>
      <c r="W282" s="18"/>
      <c r="X282" s="18"/>
      <c r="Y282" s="18" t="s">
        <v>73</v>
      </c>
      <c r="Z282" s="18"/>
      <c r="AA282" s="18" t="s">
        <v>75</v>
      </c>
      <c r="AB282" s="80" t="s">
        <v>76</v>
      </c>
      <c r="AC282" s="18" t="s">
        <v>77</v>
      </c>
      <c r="AD282" s="18" t="s">
        <v>78</v>
      </c>
      <c r="AE282" s="13" t="s">
        <v>79</v>
      </c>
      <c r="AF282" s="6" t="s">
        <v>80</v>
      </c>
      <c r="AG282" s="18" t="s">
        <v>81</v>
      </c>
      <c r="AH282" s="18" t="s">
        <v>96</v>
      </c>
      <c r="AI282" s="18" t="s">
        <v>1046</v>
      </c>
      <c r="AJ282" s="18"/>
      <c r="AK282" s="18" t="s">
        <v>912</v>
      </c>
      <c r="AL282" s="18" t="s">
        <v>895</v>
      </c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4">
        <v>45657.0</v>
      </c>
      <c r="BG282" s="7" t="s">
        <v>73</v>
      </c>
      <c r="BH282" s="7"/>
      <c r="BI282" s="15">
        <f t="shared" si="1"/>
        <v>23</v>
      </c>
      <c r="BJ282" s="15" t="str">
        <f t="shared" si="3"/>
        <v>18-35</v>
      </c>
      <c r="BK282" s="15"/>
      <c r="BL282" s="7"/>
      <c r="BM282" s="7"/>
      <c r="BN282" s="18" t="s">
        <v>80</v>
      </c>
    </row>
    <row r="283" ht="15.75" customHeight="1">
      <c r="A283" s="1">
        <v>307.0</v>
      </c>
      <c r="B283" s="2">
        <v>307.0</v>
      </c>
      <c r="C283" s="17">
        <v>45349.36778810185</v>
      </c>
      <c r="D283" s="18" t="s">
        <v>1047</v>
      </c>
      <c r="E283" s="19">
        <v>23419.0</v>
      </c>
      <c r="F283" s="18" t="s">
        <v>106</v>
      </c>
      <c r="G283" s="18" t="s">
        <v>1048</v>
      </c>
      <c r="H283" s="18">
        <v>1.1570318E9</v>
      </c>
      <c r="I283" s="18" t="s">
        <v>221</v>
      </c>
      <c r="J283" s="18" t="s">
        <v>146</v>
      </c>
      <c r="K283" s="18" t="s">
        <v>71</v>
      </c>
      <c r="L283" s="18">
        <v>100.0</v>
      </c>
      <c r="M283" s="18">
        <v>183.0</v>
      </c>
      <c r="N283" s="18" t="s">
        <v>73</v>
      </c>
      <c r="O283" s="18"/>
      <c r="P283" s="18" t="s">
        <v>1049</v>
      </c>
      <c r="Q283" s="18"/>
      <c r="R283" s="18" t="s">
        <v>73</v>
      </c>
      <c r="S283" s="18" t="s">
        <v>73</v>
      </c>
      <c r="T283" s="18" t="s">
        <v>73</v>
      </c>
      <c r="U283" s="18" t="s">
        <v>73</v>
      </c>
      <c r="V283" s="18"/>
      <c r="W283" s="18"/>
      <c r="X283" s="18"/>
      <c r="Y283" s="18" t="s">
        <v>73</v>
      </c>
      <c r="Z283" s="18"/>
      <c r="AA283" s="18" t="s">
        <v>75</v>
      </c>
      <c r="AB283" s="80" t="s">
        <v>76</v>
      </c>
      <c r="AC283" s="18" t="s">
        <v>102</v>
      </c>
      <c r="AD283" s="18" t="s">
        <v>94</v>
      </c>
      <c r="AE283" s="13" t="s">
        <v>205</v>
      </c>
      <c r="AF283" s="6" t="s">
        <v>187</v>
      </c>
      <c r="AG283" s="18" t="s">
        <v>81</v>
      </c>
      <c r="AH283" s="18" t="s">
        <v>82</v>
      </c>
      <c r="AI283" s="18"/>
      <c r="AJ283" s="18"/>
      <c r="AK283" s="18" t="s">
        <v>941</v>
      </c>
      <c r="AL283" s="18" t="s">
        <v>981</v>
      </c>
      <c r="AM283" s="18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14">
        <v>45657.0</v>
      </c>
      <c r="BG283" s="7" t="s">
        <v>73</v>
      </c>
      <c r="BH283" s="7"/>
      <c r="BI283" s="15">
        <f t="shared" si="1"/>
        <v>60</v>
      </c>
      <c r="BJ283" s="15" t="str">
        <f t="shared" si="3"/>
        <v>&gt;55</v>
      </c>
      <c r="BK283" s="15"/>
      <c r="BL283" s="7"/>
      <c r="BM283" s="7"/>
      <c r="BN283" s="18" t="s">
        <v>187</v>
      </c>
    </row>
    <row r="284" ht="15.75" customHeight="1">
      <c r="A284" s="1"/>
      <c r="B284" s="2">
        <v>308.0</v>
      </c>
      <c r="C284" s="9">
        <v>45350.61402445602</v>
      </c>
      <c r="D284" s="10" t="s">
        <v>1050</v>
      </c>
      <c r="E284" s="11">
        <v>29397.0</v>
      </c>
      <c r="F284" s="10" t="s">
        <v>67</v>
      </c>
      <c r="G284" s="10" t="s">
        <v>1051</v>
      </c>
      <c r="H284" s="10">
        <v>1.167074976E9</v>
      </c>
      <c r="I284" s="10" t="s">
        <v>92</v>
      </c>
      <c r="J284" s="10" t="s">
        <v>85</v>
      </c>
      <c r="K284" s="10" t="s">
        <v>71</v>
      </c>
      <c r="L284" s="10">
        <v>65.0</v>
      </c>
      <c r="M284" s="10">
        <v>1.55</v>
      </c>
      <c r="N284" s="10" t="s">
        <v>73</v>
      </c>
      <c r="O284" s="10"/>
      <c r="P284" s="10" t="s">
        <v>74</v>
      </c>
      <c r="Q284" s="10"/>
      <c r="R284" s="10" t="s">
        <v>73</v>
      </c>
      <c r="S284" s="10" t="s">
        <v>73</v>
      </c>
      <c r="T284" s="10" t="s">
        <v>73</v>
      </c>
      <c r="U284" s="10" t="s">
        <v>73</v>
      </c>
      <c r="V284" s="10"/>
      <c r="W284" s="10"/>
      <c r="X284" s="10"/>
      <c r="Y284" s="10" t="s">
        <v>73</v>
      </c>
      <c r="Z284" s="10"/>
      <c r="AA284" s="10" t="s">
        <v>73</v>
      </c>
      <c r="AB284" s="12"/>
      <c r="AC284" s="10" t="s">
        <v>82</v>
      </c>
      <c r="AD284" s="10" t="s">
        <v>78</v>
      </c>
      <c r="AE284" s="13" t="s">
        <v>205</v>
      </c>
      <c r="AF284" s="6" t="s">
        <v>80</v>
      </c>
      <c r="AG284" s="10" t="s">
        <v>81</v>
      </c>
      <c r="AH284" s="10" t="s">
        <v>82</v>
      </c>
      <c r="AI284" s="10"/>
      <c r="AJ284" s="10"/>
      <c r="AK284" s="10" t="s">
        <v>941</v>
      </c>
      <c r="AL284" s="10" t="s">
        <v>975</v>
      </c>
      <c r="AM284" s="10"/>
      <c r="AN284" s="42"/>
      <c r="AO284" s="42"/>
      <c r="AP284" s="42"/>
      <c r="AQ284" s="42"/>
      <c r="AR284" s="42"/>
      <c r="AS284" s="42"/>
      <c r="AT284" s="42"/>
      <c r="AU284" s="42"/>
      <c r="AV284" s="42"/>
      <c r="AW284" s="42"/>
      <c r="AX284" s="42"/>
      <c r="AY284" s="42"/>
      <c r="AZ284" s="42"/>
      <c r="BA284" s="42"/>
      <c r="BB284" s="42"/>
      <c r="BC284" s="42"/>
      <c r="BD284" s="42"/>
      <c r="BE284" s="42"/>
      <c r="BF284" s="14">
        <v>45351.0</v>
      </c>
      <c r="BG284" s="7" t="s">
        <v>75</v>
      </c>
      <c r="BH284" s="7" t="s">
        <v>604</v>
      </c>
      <c r="BI284" s="15">
        <f t="shared" si="1"/>
        <v>44</v>
      </c>
      <c r="BJ284" s="15" t="str">
        <f t="shared" si="3"/>
        <v>35-55</v>
      </c>
      <c r="BK284" s="15"/>
      <c r="BL284" s="7"/>
      <c r="BM284" s="7"/>
      <c r="BN284" s="10" t="s">
        <v>80</v>
      </c>
    </row>
    <row r="285" ht="15.75" customHeight="1">
      <c r="A285" s="1">
        <v>309.0</v>
      </c>
      <c r="B285" s="2">
        <v>309.0</v>
      </c>
      <c r="C285" s="9">
        <v>45350.616243958335</v>
      </c>
      <c r="D285" s="10" t="s">
        <v>1052</v>
      </c>
      <c r="E285" s="11">
        <v>28489.0</v>
      </c>
      <c r="F285" s="10" t="s">
        <v>67</v>
      </c>
      <c r="G285" s="10" t="s">
        <v>1053</v>
      </c>
      <c r="H285" s="10">
        <v>1.131198749E9</v>
      </c>
      <c r="I285" s="10" t="s">
        <v>221</v>
      </c>
      <c r="J285" s="10" t="s">
        <v>109</v>
      </c>
      <c r="K285" s="10" t="s">
        <v>166</v>
      </c>
      <c r="L285" s="10">
        <v>75.0</v>
      </c>
      <c r="M285" s="10">
        <v>1.63</v>
      </c>
      <c r="N285" s="10" t="s">
        <v>73</v>
      </c>
      <c r="O285" s="10"/>
      <c r="P285" s="10" t="s">
        <v>74</v>
      </c>
      <c r="Q285" s="10"/>
      <c r="R285" s="10" t="s">
        <v>73</v>
      </c>
      <c r="S285" s="10" t="s">
        <v>73</v>
      </c>
      <c r="T285" s="10" t="s">
        <v>73</v>
      </c>
      <c r="U285" s="10" t="s">
        <v>73</v>
      </c>
      <c r="V285" s="10"/>
      <c r="W285" s="10"/>
      <c r="X285" s="10"/>
      <c r="Y285" s="10" t="s">
        <v>73</v>
      </c>
      <c r="Z285" s="10"/>
      <c r="AA285" s="10" t="s">
        <v>75</v>
      </c>
      <c r="AB285" s="77" t="s">
        <v>76</v>
      </c>
      <c r="AC285" s="10" t="s">
        <v>82</v>
      </c>
      <c r="AD285" s="10" t="s">
        <v>78</v>
      </c>
      <c r="AE285" s="13" t="s">
        <v>205</v>
      </c>
      <c r="AF285" s="6" t="s">
        <v>80</v>
      </c>
      <c r="AG285" s="10" t="s">
        <v>77</v>
      </c>
      <c r="AH285" s="10" t="s">
        <v>102</v>
      </c>
      <c r="AI285" s="10" t="s">
        <v>999</v>
      </c>
      <c r="AJ285" s="10"/>
      <c r="AK285" s="10" t="s">
        <v>941</v>
      </c>
      <c r="AL285" s="10" t="s">
        <v>975</v>
      </c>
      <c r="AM285" s="10"/>
      <c r="AN285" s="42"/>
      <c r="AO285" s="42"/>
      <c r="AP285" s="42"/>
      <c r="AQ285" s="42"/>
      <c r="AR285" s="42"/>
      <c r="AS285" s="42"/>
      <c r="AT285" s="42"/>
      <c r="AU285" s="42"/>
      <c r="AV285" s="42"/>
      <c r="AW285" s="42"/>
      <c r="AX285" s="42"/>
      <c r="AY285" s="42"/>
      <c r="AZ285" s="42"/>
      <c r="BA285" s="42"/>
      <c r="BB285" s="42"/>
      <c r="BC285" s="42"/>
      <c r="BD285" s="42"/>
      <c r="BE285" s="42"/>
      <c r="BF285" s="14">
        <v>45351.0</v>
      </c>
      <c r="BG285" s="7" t="s">
        <v>75</v>
      </c>
      <c r="BH285" s="7" t="s">
        <v>604</v>
      </c>
      <c r="BI285" s="15">
        <f t="shared" si="1"/>
        <v>47</v>
      </c>
      <c r="BJ285" s="15" t="str">
        <f t="shared" si="3"/>
        <v>35-55</v>
      </c>
      <c r="BK285" s="15"/>
      <c r="BL285" s="7"/>
      <c r="BM285" s="7"/>
      <c r="BN285" s="10" t="s">
        <v>80</v>
      </c>
    </row>
    <row r="286" ht="15.75" customHeight="1">
      <c r="A286" s="1">
        <v>310.0</v>
      </c>
      <c r="B286" s="2">
        <v>310.0</v>
      </c>
      <c r="C286" s="17">
        <v>45352.37170682871</v>
      </c>
      <c r="D286" s="18" t="s">
        <v>1054</v>
      </c>
      <c r="E286" s="19">
        <v>24366.0</v>
      </c>
      <c r="F286" s="18" t="s">
        <v>67</v>
      </c>
      <c r="G286" s="18" t="s">
        <v>1055</v>
      </c>
      <c r="H286" s="18">
        <v>1.167450303E9</v>
      </c>
      <c r="I286" s="18" t="s">
        <v>69</v>
      </c>
      <c r="J286" s="18" t="s">
        <v>109</v>
      </c>
      <c r="K286" s="18" t="s">
        <v>71</v>
      </c>
      <c r="L286" s="18">
        <v>79.0</v>
      </c>
      <c r="M286" s="18">
        <v>174.0</v>
      </c>
      <c r="N286" s="18" t="s">
        <v>75</v>
      </c>
      <c r="O286" s="18" t="s">
        <v>403</v>
      </c>
      <c r="P286" s="18" t="s">
        <v>74</v>
      </c>
      <c r="Q286" s="18"/>
      <c r="R286" s="18" t="s">
        <v>73</v>
      </c>
      <c r="S286" s="18" t="s">
        <v>73</v>
      </c>
      <c r="T286" s="18" t="s">
        <v>73</v>
      </c>
      <c r="U286" s="18" t="s">
        <v>75</v>
      </c>
      <c r="V286" s="18" t="s">
        <v>1056</v>
      </c>
      <c r="W286" s="18" t="s">
        <v>694</v>
      </c>
      <c r="X286" s="79"/>
      <c r="Y286" s="18" t="s">
        <v>73</v>
      </c>
      <c r="Z286" s="18"/>
      <c r="AA286" s="18" t="s">
        <v>75</v>
      </c>
      <c r="AB286" s="80" t="s">
        <v>76</v>
      </c>
      <c r="AC286" s="18" t="s">
        <v>95</v>
      </c>
      <c r="AD286" s="18" t="s">
        <v>94</v>
      </c>
      <c r="AE286" s="13" t="s">
        <v>205</v>
      </c>
      <c r="AF286" s="6" t="s">
        <v>80</v>
      </c>
      <c r="AG286" s="18" t="s">
        <v>81</v>
      </c>
      <c r="AH286" s="18" t="s">
        <v>96</v>
      </c>
      <c r="AI286" s="18" t="s">
        <v>951</v>
      </c>
      <c r="AJ286" s="18"/>
      <c r="AK286" s="18" t="s">
        <v>941</v>
      </c>
      <c r="AL286" s="18" t="s">
        <v>981</v>
      </c>
      <c r="AM286" s="18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14">
        <v>45657.0</v>
      </c>
      <c r="BG286" s="7" t="s">
        <v>73</v>
      </c>
      <c r="BH286" s="7"/>
      <c r="BI286" s="15">
        <f t="shared" si="1"/>
        <v>58</v>
      </c>
      <c r="BJ286" s="15" t="str">
        <f t="shared" si="3"/>
        <v>&gt;55</v>
      </c>
      <c r="BK286" s="15"/>
      <c r="BL286" s="7"/>
      <c r="BM286" s="7"/>
      <c r="BN286" s="18" t="s">
        <v>80</v>
      </c>
    </row>
    <row r="287" ht="15.75" customHeight="1">
      <c r="A287" s="1">
        <v>311.0</v>
      </c>
      <c r="B287" s="2">
        <v>311.0</v>
      </c>
      <c r="C287" s="32">
        <v>45358.88017400463</v>
      </c>
      <c r="D287" s="33" t="s">
        <v>1057</v>
      </c>
      <c r="E287" s="34">
        <v>30098.0</v>
      </c>
      <c r="F287" s="33" t="s">
        <v>67</v>
      </c>
      <c r="G287" s="33" t="s">
        <v>1058</v>
      </c>
      <c r="H287" s="33">
        <v>1.154563269E9</v>
      </c>
      <c r="I287" s="33" t="s">
        <v>92</v>
      </c>
      <c r="J287" s="33" t="s">
        <v>109</v>
      </c>
      <c r="K287" s="33" t="s">
        <v>166</v>
      </c>
      <c r="L287" s="33">
        <v>90.0</v>
      </c>
      <c r="M287" s="33">
        <v>162.0</v>
      </c>
      <c r="N287" s="33" t="s">
        <v>75</v>
      </c>
      <c r="O287" s="33" t="s">
        <v>1059</v>
      </c>
      <c r="P287" s="33" t="s">
        <v>329</v>
      </c>
      <c r="Q287" s="33"/>
      <c r="R287" s="33" t="s">
        <v>73</v>
      </c>
      <c r="S287" s="33" t="s">
        <v>73</v>
      </c>
      <c r="T287" s="33" t="s">
        <v>73</v>
      </c>
      <c r="U287" s="33" t="s">
        <v>73</v>
      </c>
      <c r="V287" s="33"/>
      <c r="W287" s="33"/>
      <c r="X287" s="33"/>
      <c r="Y287" s="33" t="s">
        <v>73</v>
      </c>
      <c r="Z287" s="33"/>
      <c r="AA287" s="33" t="s">
        <v>73</v>
      </c>
      <c r="AB287" s="35"/>
      <c r="AC287" s="33" t="s">
        <v>82</v>
      </c>
      <c r="AD287" s="33" t="s">
        <v>94</v>
      </c>
      <c r="AE287" s="13" t="s">
        <v>131</v>
      </c>
      <c r="AF287" s="6" t="s">
        <v>80</v>
      </c>
      <c r="AG287" s="33" t="s">
        <v>95</v>
      </c>
      <c r="AH287" s="33" t="s">
        <v>77</v>
      </c>
      <c r="AI287" s="33" t="s">
        <v>999</v>
      </c>
      <c r="AJ287" s="33"/>
      <c r="AK287" s="33" t="s">
        <v>918</v>
      </c>
      <c r="AL287" s="33" t="s">
        <v>895</v>
      </c>
      <c r="AM287" s="33"/>
      <c r="BF287" s="14">
        <v>45657.0</v>
      </c>
      <c r="BG287" s="7" t="s">
        <v>73</v>
      </c>
      <c r="BI287" s="15">
        <f t="shared" si="1"/>
        <v>42</v>
      </c>
      <c r="BJ287" s="15" t="str">
        <f t="shared" si="3"/>
        <v>35-55</v>
      </c>
      <c r="BK287" s="15"/>
      <c r="BL287" s="7"/>
      <c r="BM287" s="7"/>
      <c r="BN287" s="33" t="s">
        <v>80</v>
      </c>
    </row>
    <row r="288" ht="15.75" customHeight="1">
      <c r="A288" s="1">
        <v>312.0</v>
      </c>
      <c r="B288" s="2">
        <v>312.0</v>
      </c>
      <c r="C288" s="67">
        <v>45360.73721965278</v>
      </c>
      <c r="D288" s="42" t="s">
        <v>1060</v>
      </c>
      <c r="E288" s="68">
        <v>37010.0</v>
      </c>
      <c r="F288" s="42" t="s">
        <v>106</v>
      </c>
      <c r="G288" s="42" t="s">
        <v>1061</v>
      </c>
      <c r="H288" s="42">
        <v>2.494629735E9</v>
      </c>
      <c r="I288" s="42" t="s">
        <v>92</v>
      </c>
      <c r="J288" s="42" t="s">
        <v>109</v>
      </c>
      <c r="K288" s="42" t="s">
        <v>71</v>
      </c>
      <c r="L288" s="42">
        <v>63.0</v>
      </c>
      <c r="M288" s="42">
        <v>1.72</v>
      </c>
      <c r="N288" s="42" t="s">
        <v>73</v>
      </c>
      <c r="O288" s="42"/>
      <c r="P288" s="42" t="s">
        <v>74</v>
      </c>
      <c r="Q288" s="42"/>
      <c r="R288" s="42" t="s">
        <v>73</v>
      </c>
      <c r="S288" s="42" t="s">
        <v>73</v>
      </c>
      <c r="T288" s="42" t="s">
        <v>73</v>
      </c>
      <c r="U288" s="42" t="s">
        <v>75</v>
      </c>
      <c r="V288" s="42" t="s">
        <v>1062</v>
      </c>
      <c r="W288" s="42" t="s">
        <v>694</v>
      </c>
      <c r="X288" s="84">
        <v>44629.0</v>
      </c>
      <c r="Y288" s="42" t="s">
        <v>73</v>
      </c>
      <c r="Z288" s="42"/>
      <c r="AA288" s="42" t="s">
        <v>73</v>
      </c>
      <c r="AB288" s="69"/>
      <c r="AC288" s="42" t="s">
        <v>77</v>
      </c>
      <c r="AD288" s="42" t="s">
        <v>78</v>
      </c>
      <c r="AE288" s="81" t="s">
        <v>131</v>
      </c>
      <c r="AF288" s="6" t="s">
        <v>80</v>
      </c>
      <c r="AG288" s="42" t="s">
        <v>81</v>
      </c>
      <c r="AH288" s="42" t="s">
        <v>82</v>
      </c>
      <c r="AI288" s="42"/>
      <c r="AJ288" s="42"/>
      <c r="AK288" s="42" t="s">
        <v>918</v>
      </c>
      <c r="AL288" s="42" t="s">
        <v>895</v>
      </c>
      <c r="AM288" s="42"/>
      <c r="BF288" s="14">
        <v>45657.0</v>
      </c>
      <c r="BG288" s="7" t="s">
        <v>73</v>
      </c>
      <c r="BI288" s="15">
        <f t="shared" si="1"/>
        <v>23</v>
      </c>
      <c r="BJ288" s="15" t="str">
        <f t="shared" si="3"/>
        <v>18-35</v>
      </c>
      <c r="BK288" s="15"/>
      <c r="BL288" s="7"/>
      <c r="BM288" s="7"/>
      <c r="BN288" s="18" t="s">
        <v>80</v>
      </c>
    </row>
    <row r="289" ht="15.75" customHeight="1">
      <c r="A289" s="1">
        <v>313.0</v>
      </c>
      <c r="B289" s="2">
        <v>313.0</v>
      </c>
      <c r="C289" s="9">
        <v>45360.88784177083</v>
      </c>
      <c r="D289" s="10" t="s">
        <v>1063</v>
      </c>
      <c r="E289" s="11">
        <v>37637.0</v>
      </c>
      <c r="F289" s="10" t="s">
        <v>67</v>
      </c>
      <c r="G289" s="10" t="s">
        <v>1064</v>
      </c>
      <c r="H289" s="10">
        <v>9.249457685E10</v>
      </c>
      <c r="I289" s="10" t="s">
        <v>92</v>
      </c>
      <c r="J289" s="10" t="s">
        <v>109</v>
      </c>
      <c r="K289" s="10" t="s">
        <v>86</v>
      </c>
      <c r="L289" s="10">
        <v>63.0</v>
      </c>
      <c r="M289" s="10">
        <v>173.0</v>
      </c>
      <c r="N289" s="10" t="s">
        <v>75</v>
      </c>
      <c r="O289" s="10" t="s">
        <v>1065</v>
      </c>
      <c r="P289" s="10" t="s">
        <v>74</v>
      </c>
      <c r="Q289" s="10"/>
      <c r="R289" s="10" t="s">
        <v>73</v>
      </c>
      <c r="S289" s="10" t="s">
        <v>73</v>
      </c>
      <c r="T289" s="10" t="s">
        <v>73</v>
      </c>
      <c r="U289" s="10" t="s">
        <v>75</v>
      </c>
      <c r="V289" s="10" t="s">
        <v>118</v>
      </c>
      <c r="W289" s="10" t="s">
        <v>694</v>
      </c>
      <c r="X289" s="74">
        <v>40179.0</v>
      </c>
      <c r="Y289" s="10" t="s">
        <v>73</v>
      </c>
      <c r="Z289" s="10"/>
      <c r="AA289" s="10" t="s">
        <v>73</v>
      </c>
      <c r="AB289" s="12"/>
      <c r="AC289" s="10" t="s">
        <v>95</v>
      </c>
      <c r="AD289" s="10" t="s">
        <v>94</v>
      </c>
      <c r="AE289" s="13" t="s">
        <v>113</v>
      </c>
      <c r="AF289" s="6" t="s">
        <v>80</v>
      </c>
      <c r="AG289" s="10" t="s">
        <v>95</v>
      </c>
      <c r="AH289" s="10" t="s">
        <v>102</v>
      </c>
      <c r="AI289" s="10" t="s">
        <v>911</v>
      </c>
      <c r="AJ289" s="10"/>
      <c r="AK289" s="10" t="s">
        <v>931</v>
      </c>
      <c r="AL289" s="10" t="s">
        <v>895</v>
      </c>
      <c r="AM289" s="10"/>
      <c r="BF289" s="14">
        <v>45657.0</v>
      </c>
      <c r="BG289" s="7" t="s">
        <v>75</v>
      </c>
      <c r="BH289" s="85" t="s">
        <v>190</v>
      </c>
      <c r="BI289" s="15">
        <f t="shared" si="1"/>
        <v>21</v>
      </c>
      <c r="BJ289" s="15" t="str">
        <f t="shared" si="3"/>
        <v>18-35</v>
      </c>
      <c r="BK289" s="15"/>
      <c r="BL289" s="7"/>
      <c r="BM289" s="7"/>
      <c r="BN289" s="10" t="s">
        <v>80</v>
      </c>
    </row>
    <row r="290" ht="15.75" customHeight="1">
      <c r="A290" s="1">
        <v>314.0</v>
      </c>
      <c r="B290" s="2">
        <v>314.0</v>
      </c>
      <c r="C290" s="17">
        <v>45370.535433993056</v>
      </c>
      <c r="D290" s="18" t="s">
        <v>1066</v>
      </c>
      <c r="E290" s="19">
        <v>35865.0</v>
      </c>
      <c r="F290" s="18" t="s">
        <v>67</v>
      </c>
      <c r="G290" s="18" t="s">
        <v>1067</v>
      </c>
      <c r="H290" s="18">
        <v>1.126787685E9</v>
      </c>
      <c r="I290" s="18" t="s">
        <v>92</v>
      </c>
      <c r="J290" s="18" t="s">
        <v>109</v>
      </c>
      <c r="K290" s="18" t="s">
        <v>134</v>
      </c>
      <c r="L290" s="18">
        <v>56.0</v>
      </c>
      <c r="M290" s="18">
        <v>167.0</v>
      </c>
      <c r="N290" s="18" t="s">
        <v>73</v>
      </c>
      <c r="O290" s="18"/>
      <c r="P290" s="18" t="s">
        <v>74</v>
      </c>
      <c r="Q290" s="18"/>
      <c r="R290" s="18" t="s">
        <v>73</v>
      </c>
      <c r="S290" s="18" t="s">
        <v>73</v>
      </c>
      <c r="T290" s="18" t="s">
        <v>73</v>
      </c>
      <c r="U290" s="18" t="s">
        <v>73</v>
      </c>
      <c r="V290" s="18"/>
      <c r="W290" s="18"/>
      <c r="X290" s="18"/>
      <c r="Y290" s="18" t="s">
        <v>73</v>
      </c>
      <c r="Z290" s="18"/>
      <c r="AA290" s="18" t="s">
        <v>73</v>
      </c>
      <c r="AB290" s="20"/>
      <c r="AC290" s="18" t="s">
        <v>77</v>
      </c>
      <c r="AD290" s="18" t="s">
        <v>94</v>
      </c>
      <c r="AE290" s="13" t="s">
        <v>131</v>
      </c>
      <c r="AF290" s="6" t="s">
        <v>80</v>
      </c>
      <c r="AG290" s="18" t="s">
        <v>95</v>
      </c>
      <c r="AH290" s="18" t="s">
        <v>77</v>
      </c>
      <c r="AI290" s="18" t="s">
        <v>956</v>
      </c>
      <c r="AJ290" s="18"/>
      <c r="AK290" s="18" t="s">
        <v>931</v>
      </c>
      <c r="AL290" s="18" t="s">
        <v>895</v>
      </c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4">
        <v>45657.0</v>
      </c>
      <c r="BG290" s="7" t="s">
        <v>73</v>
      </c>
      <c r="BH290" s="7"/>
      <c r="BI290" s="15">
        <f t="shared" si="1"/>
        <v>26</v>
      </c>
      <c r="BJ290" s="15" t="str">
        <f t="shared" si="3"/>
        <v>18-35</v>
      </c>
      <c r="BK290" s="15"/>
      <c r="BL290" s="7"/>
      <c r="BM290" s="7"/>
      <c r="BN290" s="18" t="s">
        <v>80</v>
      </c>
    </row>
    <row r="291" ht="15.75" customHeight="1">
      <c r="A291" s="1">
        <v>315.0</v>
      </c>
      <c r="B291" s="2">
        <v>315.0</v>
      </c>
      <c r="C291" s="17">
        <v>45439.42955671296</v>
      </c>
      <c r="D291" s="18" t="s">
        <v>1068</v>
      </c>
      <c r="E291" s="19">
        <v>36944.0</v>
      </c>
      <c r="F291" s="18" t="s">
        <v>67</v>
      </c>
      <c r="G291" s="18" t="s">
        <v>1069</v>
      </c>
      <c r="H291" s="18">
        <v>2.364651881E9</v>
      </c>
      <c r="I291" s="18" t="s">
        <v>92</v>
      </c>
      <c r="J291" s="18" t="s">
        <v>85</v>
      </c>
      <c r="K291" s="18" t="s">
        <v>71</v>
      </c>
      <c r="L291" s="18">
        <v>60.0</v>
      </c>
      <c r="M291" s="18">
        <v>1.65</v>
      </c>
      <c r="N291" s="18" t="s">
        <v>73</v>
      </c>
      <c r="O291" s="18"/>
      <c r="P291" s="18" t="s">
        <v>1070</v>
      </c>
      <c r="Q291" s="18"/>
      <c r="R291" s="18" t="s">
        <v>73</v>
      </c>
      <c r="S291" s="18" t="s">
        <v>73</v>
      </c>
      <c r="T291" s="18" t="s">
        <v>73</v>
      </c>
      <c r="U291" s="18" t="s">
        <v>73</v>
      </c>
      <c r="V291" s="18"/>
      <c r="W291" s="18"/>
      <c r="X291" s="18"/>
      <c r="Y291" s="18" t="s">
        <v>73</v>
      </c>
      <c r="Z291" s="18"/>
      <c r="AA291" s="18" t="s">
        <v>75</v>
      </c>
      <c r="AB291" s="80" t="s">
        <v>76</v>
      </c>
      <c r="AC291" s="18" t="s">
        <v>95</v>
      </c>
      <c r="AD291" s="18" t="s">
        <v>94</v>
      </c>
      <c r="AE291" s="13" t="s">
        <v>131</v>
      </c>
      <c r="AF291" s="6" t="s">
        <v>80</v>
      </c>
      <c r="AG291" s="18" t="s">
        <v>95</v>
      </c>
      <c r="AH291" s="18" t="s">
        <v>77</v>
      </c>
      <c r="AI291" s="18" t="s">
        <v>951</v>
      </c>
      <c r="AJ291" s="18"/>
      <c r="AK291" s="18" t="s">
        <v>912</v>
      </c>
      <c r="AL291" s="18" t="s">
        <v>895</v>
      </c>
      <c r="AM291" s="18"/>
      <c r="BF291" s="14">
        <v>45657.0</v>
      </c>
      <c r="BG291" s="7" t="s">
        <v>73</v>
      </c>
      <c r="BI291" s="15">
        <f t="shared" si="1"/>
        <v>23</v>
      </c>
      <c r="BJ291" s="15" t="str">
        <f t="shared" si="3"/>
        <v>18-35</v>
      </c>
      <c r="BK291" s="15"/>
      <c r="BL291" s="7"/>
      <c r="BM291" s="7"/>
      <c r="BN291" s="18" t="s">
        <v>80</v>
      </c>
    </row>
    <row r="292" ht="15.75" customHeight="1">
      <c r="A292" s="1">
        <v>316.0</v>
      </c>
      <c r="B292" s="2">
        <v>316.0</v>
      </c>
      <c r="C292" s="86">
        <v>45494.935345868056</v>
      </c>
      <c r="D292" s="10" t="s">
        <v>1071</v>
      </c>
      <c r="E292" s="87">
        <v>37175.0</v>
      </c>
      <c r="F292" s="13" t="s">
        <v>106</v>
      </c>
      <c r="G292" s="13" t="s">
        <v>1072</v>
      </c>
      <c r="H292" s="13">
        <v>2.494001891E9</v>
      </c>
      <c r="I292" s="13" t="s">
        <v>449</v>
      </c>
      <c r="J292" s="13" t="s">
        <v>70</v>
      </c>
      <c r="K292" s="13" t="s">
        <v>71</v>
      </c>
      <c r="L292" s="13">
        <v>59.0</v>
      </c>
      <c r="M292" s="13">
        <v>1.69</v>
      </c>
      <c r="N292" s="13" t="s">
        <v>73</v>
      </c>
      <c r="O292" s="13"/>
      <c r="P292" s="13" t="s">
        <v>74</v>
      </c>
      <c r="Q292" s="13"/>
      <c r="R292" s="13" t="s">
        <v>73</v>
      </c>
      <c r="S292" s="13" t="s">
        <v>73</v>
      </c>
      <c r="T292" s="13" t="s">
        <v>73</v>
      </c>
      <c r="U292" s="13" t="s">
        <v>73</v>
      </c>
      <c r="V292" s="13"/>
      <c r="W292" s="13"/>
      <c r="X292" s="13"/>
      <c r="Y292" s="13" t="s">
        <v>75</v>
      </c>
      <c r="Z292" s="88" t="s">
        <v>929</v>
      </c>
      <c r="AA292" s="13" t="s">
        <v>75</v>
      </c>
      <c r="AB292" s="89" t="s">
        <v>76</v>
      </c>
      <c r="AC292" s="13" t="s">
        <v>82</v>
      </c>
      <c r="AD292" s="13" t="s">
        <v>78</v>
      </c>
      <c r="AE292" s="13" t="s">
        <v>131</v>
      </c>
      <c r="AF292" s="6" t="s">
        <v>151</v>
      </c>
      <c r="AG292" s="13" t="s">
        <v>81</v>
      </c>
      <c r="AH292" s="13" t="s">
        <v>77</v>
      </c>
      <c r="AI292" s="13" t="s">
        <v>1073</v>
      </c>
      <c r="AJ292" s="13"/>
      <c r="AK292" s="13" t="s">
        <v>923</v>
      </c>
      <c r="AL292" s="13" t="s">
        <v>895</v>
      </c>
      <c r="AM292" s="13"/>
      <c r="BF292" s="14">
        <v>45657.0</v>
      </c>
      <c r="BG292" s="7" t="s">
        <v>75</v>
      </c>
      <c r="BH292" s="85" t="s">
        <v>190</v>
      </c>
      <c r="BI292" s="15">
        <f t="shared" si="1"/>
        <v>23</v>
      </c>
      <c r="BJ292" s="15" t="str">
        <f t="shared" si="3"/>
        <v>18-35</v>
      </c>
      <c r="BL292" s="85"/>
      <c r="BM292" s="85"/>
      <c r="BN292" s="13" t="s">
        <v>151</v>
      </c>
    </row>
    <row r="293" ht="15.75" customHeight="1">
      <c r="A293" s="1">
        <v>317.0</v>
      </c>
      <c r="B293" s="2">
        <v>317.0</v>
      </c>
      <c r="C293" s="86">
        <v>45496.86419344907</v>
      </c>
      <c r="D293" s="10" t="s">
        <v>1074</v>
      </c>
      <c r="E293" s="87">
        <v>31044.0</v>
      </c>
      <c r="F293" s="13" t="s">
        <v>67</v>
      </c>
      <c r="G293" s="13" t="s">
        <v>1075</v>
      </c>
      <c r="H293" s="13">
        <v>1.162567802E9</v>
      </c>
      <c r="I293" s="13" t="s">
        <v>449</v>
      </c>
      <c r="J293" s="13" t="s">
        <v>85</v>
      </c>
      <c r="K293" s="13" t="s">
        <v>134</v>
      </c>
      <c r="L293" s="13">
        <v>61.0</v>
      </c>
      <c r="M293" s="13">
        <v>1.65</v>
      </c>
      <c r="N293" s="13" t="s">
        <v>73</v>
      </c>
      <c r="O293" s="13"/>
      <c r="P293" s="13" t="s">
        <v>178</v>
      </c>
      <c r="Q293" s="13"/>
      <c r="R293" s="13" t="s">
        <v>73</v>
      </c>
      <c r="S293" s="13" t="s">
        <v>73</v>
      </c>
      <c r="T293" s="13" t="s">
        <v>73</v>
      </c>
      <c r="U293" s="13" t="s">
        <v>73</v>
      </c>
      <c r="V293" s="13"/>
      <c r="W293" s="13"/>
      <c r="X293" s="13"/>
      <c r="Y293" s="13" t="s">
        <v>73</v>
      </c>
      <c r="Z293" s="13"/>
      <c r="AA293" s="13" t="s">
        <v>75</v>
      </c>
      <c r="AB293" s="89" t="s">
        <v>76</v>
      </c>
      <c r="AC293" s="13" t="s">
        <v>102</v>
      </c>
      <c r="AD293" s="13" t="s">
        <v>94</v>
      </c>
      <c r="AE293" s="13" t="s">
        <v>131</v>
      </c>
      <c r="AF293" s="6" t="s">
        <v>80</v>
      </c>
      <c r="AG293" s="13" t="s">
        <v>77</v>
      </c>
      <c r="AH293" s="13" t="s">
        <v>96</v>
      </c>
      <c r="AI293" s="13" t="s">
        <v>948</v>
      </c>
      <c r="AJ293" s="13"/>
      <c r="AK293" s="13" t="s">
        <v>923</v>
      </c>
      <c r="AL293" s="13" t="s">
        <v>895</v>
      </c>
      <c r="AM293" s="13" t="s">
        <v>895</v>
      </c>
      <c r="BG293" s="7" t="s">
        <v>75</v>
      </c>
      <c r="BH293" s="85" t="s">
        <v>190</v>
      </c>
      <c r="BI293" s="15">
        <f t="shared" si="1"/>
        <v>-85</v>
      </c>
      <c r="BJ293" s="15" t="str">
        <f t="shared" si="3"/>
        <v>18-35</v>
      </c>
      <c r="BL293" s="85"/>
      <c r="BM293" s="85"/>
      <c r="BN293" s="13" t="s">
        <v>80</v>
      </c>
    </row>
    <row r="294" ht="15.75" customHeight="1">
      <c r="A294" s="1">
        <v>318.0</v>
      </c>
      <c r="B294" s="2">
        <v>318.0</v>
      </c>
      <c r="C294" s="86">
        <v>45496.894811261576</v>
      </c>
      <c r="D294" s="10" t="s">
        <v>1076</v>
      </c>
      <c r="E294" s="87">
        <v>37200.0</v>
      </c>
      <c r="F294" s="13" t="s">
        <v>67</v>
      </c>
      <c r="G294" s="13" t="s">
        <v>1077</v>
      </c>
      <c r="H294" s="13">
        <v>2.494624833E9</v>
      </c>
      <c r="I294" s="13" t="s">
        <v>92</v>
      </c>
      <c r="J294" s="13" t="s">
        <v>146</v>
      </c>
      <c r="K294" s="13" t="s">
        <v>86</v>
      </c>
      <c r="L294" s="13">
        <v>60.0</v>
      </c>
      <c r="M294" s="13">
        <v>161.0</v>
      </c>
      <c r="N294" s="13" t="s">
        <v>75</v>
      </c>
      <c r="O294" s="13" t="s">
        <v>403</v>
      </c>
      <c r="P294" s="13" t="s">
        <v>74</v>
      </c>
      <c r="Q294" s="13"/>
      <c r="R294" s="13" t="s">
        <v>73</v>
      </c>
      <c r="S294" s="13" t="s">
        <v>73</v>
      </c>
      <c r="T294" s="13" t="s">
        <v>73</v>
      </c>
      <c r="U294" s="13" t="s">
        <v>75</v>
      </c>
      <c r="V294" s="13" t="s">
        <v>335</v>
      </c>
      <c r="W294" s="13" t="s">
        <v>694</v>
      </c>
      <c r="X294" s="90">
        <v>43687.0</v>
      </c>
      <c r="Y294" s="13" t="s">
        <v>73</v>
      </c>
      <c r="Z294" s="13"/>
      <c r="AA294" s="13" t="s">
        <v>75</v>
      </c>
      <c r="AB294" s="89" t="s">
        <v>76</v>
      </c>
      <c r="AC294" s="13" t="s">
        <v>77</v>
      </c>
      <c r="AD294" s="13" t="s">
        <v>94</v>
      </c>
      <c r="AE294" s="13" t="s">
        <v>131</v>
      </c>
      <c r="AF294" s="6" t="s">
        <v>151</v>
      </c>
      <c r="AG294" s="13" t="s">
        <v>95</v>
      </c>
      <c r="AH294" s="13" t="s">
        <v>77</v>
      </c>
      <c r="AI294" s="13" t="s">
        <v>956</v>
      </c>
      <c r="AJ294" s="13"/>
      <c r="AK294" s="13" t="s">
        <v>918</v>
      </c>
      <c r="AL294" s="13" t="s">
        <v>971</v>
      </c>
      <c r="AM294" s="13" t="s">
        <v>1078</v>
      </c>
      <c r="BF294" s="91">
        <v>45502.0</v>
      </c>
      <c r="BG294" s="7" t="s">
        <v>75</v>
      </c>
      <c r="BH294" s="85" t="s">
        <v>1079</v>
      </c>
      <c r="BI294" s="15">
        <f t="shared" si="1"/>
        <v>23</v>
      </c>
      <c r="BJ294" s="15" t="str">
        <f t="shared" si="3"/>
        <v>18-35</v>
      </c>
      <c r="BL294" s="85"/>
      <c r="BM294" s="85"/>
      <c r="BN294" s="13" t="s">
        <v>151</v>
      </c>
    </row>
    <row r="295" ht="15.75" customHeight="1">
      <c r="A295" s="1">
        <v>319.0</v>
      </c>
      <c r="B295" s="2">
        <v>319.0</v>
      </c>
      <c r="C295" s="86">
        <v>45496.94390246528</v>
      </c>
      <c r="D295" s="10" t="s">
        <v>1080</v>
      </c>
      <c r="E295" s="87">
        <v>35810.0</v>
      </c>
      <c r="F295" s="13" t="s">
        <v>67</v>
      </c>
      <c r="G295" s="13" t="s">
        <v>1081</v>
      </c>
      <c r="H295" s="13">
        <v>1.123560658E9</v>
      </c>
      <c r="I295" s="13" t="s">
        <v>449</v>
      </c>
      <c r="J295" s="13" t="s">
        <v>85</v>
      </c>
      <c r="K295" s="13" t="s">
        <v>86</v>
      </c>
      <c r="L295" s="13">
        <v>62.0</v>
      </c>
      <c r="M295" s="13">
        <v>1.65</v>
      </c>
      <c r="N295" s="13" t="s">
        <v>73</v>
      </c>
      <c r="O295" s="13"/>
      <c r="P295" s="13" t="s">
        <v>1082</v>
      </c>
      <c r="Q295" s="13"/>
      <c r="R295" s="13" t="s">
        <v>73</v>
      </c>
      <c r="S295" s="13" t="s">
        <v>73</v>
      </c>
      <c r="T295" s="13" t="s">
        <v>73</v>
      </c>
      <c r="U295" s="13" t="s">
        <v>73</v>
      </c>
      <c r="V295" s="13"/>
      <c r="W295" s="13"/>
      <c r="X295" s="13"/>
      <c r="Y295" s="13" t="s">
        <v>73</v>
      </c>
      <c r="Z295" s="13"/>
      <c r="AA295" s="13" t="s">
        <v>75</v>
      </c>
      <c r="AB295" s="89" t="s">
        <v>76</v>
      </c>
      <c r="AC295" s="13" t="s">
        <v>77</v>
      </c>
      <c r="AD295" s="13" t="s">
        <v>94</v>
      </c>
      <c r="AE295" s="13" t="s">
        <v>131</v>
      </c>
      <c r="AF295" s="6" t="s">
        <v>80</v>
      </c>
      <c r="AG295" s="13" t="s">
        <v>95</v>
      </c>
      <c r="AH295" s="13" t="s">
        <v>102</v>
      </c>
      <c r="AI295" s="13" t="s">
        <v>911</v>
      </c>
      <c r="AJ295" s="13"/>
      <c r="AK295" s="13" t="s">
        <v>912</v>
      </c>
      <c r="AL295" s="13"/>
      <c r="AM295" s="13" t="s">
        <v>1083</v>
      </c>
      <c r="BF295" s="14">
        <v>45657.0</v>
      </c>
      <c r="BG295" s="7" t="s">
        <v>75</v>
      </c>
      <c r="BH295" s="85" t="s">
        <v>1079</v>
      </c>
      <c r="BI295" s="15">
        <f t="shared" si="1"/>
        <v>26</v>
      </c>
      <c r="BJ295" s="15" t="str">
        <f t="shared" si="3"/>
        <v>18-35</v>
      </c>
      <c r="BL295" s="85"/>
      <c r="BM295" s="85"/>
      <c r="BN295" s="13" t="s">
        <v>80</v>
      </c>
    </row>
    <row r="296" ht="15.75" customHeight="1">
      <c r="A296" s="1">
        <v>320.0</v>
      </c>
      <c r="B296" s="2">
        <v>320.0</v>
      </c>
      <c r="C296" s="92">
        <v>45496.96449349537</v>
      </c>
      <c r="D296" s="33" t="s">
        <v>1084</v>
      </c>
      <c r="E296" s="93">
        <v>33824.0</v>
      </c>
      <c r="F296" s="94" t="s">
        <v>67</v>
      </c>
      <c r="G296" s="94" t="s">
        <v>1085</v>
      </c>
      <c r="H296" s="94">
        <v>2.364318161E9</v>
      </c>
      <c r="I296" s="94" t="s">
        <v>92</v>
      </c>
      <c r="J296" s="94" t="s">
        <v>70</v>
      </c>
      <c r="K296" s="94" t="s">
        <v>71</v>
      </c>
      <c r="L296" s="94">
        <v>65.0</v>
      </c>
      <c r="M296" s="94">
        <v>1.65</v>
      </c>
      <c r="N296" s="94" t="s">
        <v>73</v>
      </c>
      <c r="O296" s="94"/>
      <c r="P296" s="94" t="s">
        <v>329</v>
      </c>
      <c r="Q296" s="94"/>
      <c r="R296" s="94" t="s">
        <v>75</v>
      </c>
      <c r="S296" s="94" t="s">
        <v>73</v>
      </c>
      <c r="T296" s="94" t="s">
        <v>73</v>
      </c>
      <c r="U296" s="94" t="s">
        <v>73</v>
      </c>
      <c r="V296" s="94"/>
      <c r="W296" s="94"/>
      <c r="X296" s="94"/>
      <c r="Y296" s="94" t="s">
        <v>73</v>
      </c>
      <c r="Z296" s="94"/>
      <c r="AA296" s="94" t="s">
        <v>75</v>
      </c>
      <c r="AB296" s="95" t="s">
        <v>76</v>
      </c>
      <c r="AC296" s="94" t="s">
        <v>95</v>
      </c>
      <c r="AD296" s="94" t="s">
        <v>94</v>
      </c>
      <c r="AE296" s="94" t="s">
        <v>131</v>
      </c>
      <c r="AF296" s="6" t="s">
        <v>80</v>
      </c>
      <c r="AG296" s="94" t="s">
        <v>95</v>
      </c>
      <c r="AH296" s="94" t="s">
        <v>96</v>
      </c>
      <c r="AI296" s="94" t="s">
        <v>1086</v>
      </c>
      <c r="AJ296" s="94"/>
      <c r="AK296" s="94"/>
      <c r="AL296" s="94"/>
      <c r="AM296" s="94" t="s">
        <v>1087</v>
      </c>
      <c r="BF296" s="14">
        <v>45657.0</v>
      </c>
      <c r="BG296" s="7" t="s">
        <v>73</v>
      </c>
      <c r="BI296" s="15">
        <f t="shared" si="1"/>
        <v>32</v>
      </c>
      <c r="BJ296" s="15" t="str">
        <f t="shared" si="3"/>
        <v>18-35</v>
      </c>
      <c r="BL296" s="85"/>
      <c r="BM296" s="85"/>
      <c r="BN296" s="94" t="s">
        <v>80</v>
      </c>
    </row>
    <row r="297" ht="15.75" customHeight="1">
      <c r="A297" s="1">
        <v>321.0</v>
      </c>
      <c r="B297" s="2">
        <v>321.0</v>
      </c>
      <c r="C297" s="86">
        <v>45496.972799490744</v>
      </c>
      <c r="D297" s="10" t="s">
        <v>1088</v>
      </c>
      <c r="E297" s="87">
        <v>35782.0</v>
      </c>
      <c r="F297" s="13" t="s">
        <v>67</v>
      </c>
      <c r="G297" s="13" t="s">
        <v>1089</v>
      </c>
      <c r="H297" s="13">
        <v>1.150354467E9</v>
      </c>
      <c r="I297" s="13" t="s">
        <v>449</v>
      </c>
      <c r="J297" s="13" t="s">
        <v>85</v>
      </c>
      <c r="K297" s="13" t="s">
        <v>134</v>
      </c>
      <c r="L297" s="13">
        <v>80.0</v>
      </c>
      <c r="M297" s="13">
        <v>1.67</v>
      </c>
      <c r="N297" s="13" t="s">
        <v>75</v>
      </c>
      <c r="O297" s="13" t="s">
        <v>1090</v>
      </c>
      <c r="P297" s="13" t="s">
        <v>1091</v>
      </c>
      <c r="Q297" s="13"/>
      <c r="R297" s="13" t="s">
        <v>73</v>
      </c>
      <c r="S297" s="13" t="s">
        <v>73</v>
      </c>
      <c r="T297" s="13" t="s">
        <v>73</v>
      </c>
      <c r="U297" s="13" t="s">
        <v>73</v>
      </c>
      <c r="V297" s="13"/>
      <c r="W297" s="13"/>
      <c r="X297" s="13"/>
      <c r="Y297" s="13" t="s">
        <v>73</v>
      </c>
      <c r="Z297" s="13"/>
      <c r="AA297" s="13" t="s">
        <v>75</v>
      </c>
      <c r="AB297" s="89" t="s">
        <v>76</v>
      </c>
      <c r="AC297" s="13" t="s">
        <v>77</v>
      </c>
      <c r="AD297" s="13" t="s">
        <v>78</v>
      </c>
      <c r="AE297" s="13" t="s">
        <v>138</v>
      </c>
      <c r="AF297" s="6" t="s">
        <v>187</v>
      </c>
      <c r="AG297" s="13" t="s">
        <v>81</v>
      </c>
      <c r="AH297" s="13" t="s">
        <v>82</v>
      </c>
      <c r="AI297" s="13"/>
      <c r="AJ297" s="13"/>
      <c r="AK297" s="13" t="s">
        <v>931</v>
      </c>
      <c r="AL297" s="13"/>
      <c r="AM297" s="13"/>
      <c r="BF297" s="14">
        <v>45657.0</v>
      </c>
      <c r="BG297" s="7" t="s">
        <v>75</v>
      </c>
      <c r="BH297" s="85" t="s">
        <v>190</v>
      </c>
      <c r="BI297" s="15">
        <f t="shared" si="1"/>
        <v>27</v>
      </c>
      <c r="BJ297" s="15" t="str">
        <f t="shared" si="3"/>
        <v>18-35</v>
      </c>
      <c r="BL297" s="85"/>
      <c r="BM297" s="85"/>
      <c r="BN297" s="13" t="s">
        <v>187</v>
      </c>
    </row>
    <row r="298" ht="15.75" customHeight="1">
      <c r="A298" s="1">
        <v>322.0</v>
      </c>
      <c r="B298" s="2">
        <v>322.0</v>
      </c>
      <c r="C298" s="86">
        <v>45497.002255162035</v>
      </c>
      <c r="D298" s="10" t="s">
        <v>1092</v>
      </c>
      <c r="E298" s="87">
        <v>36758.0</v>
      </c>
      <c r="F298" s="13" t="s">
        <v>106</v>
      </c>
      <c r="G298" s="13" t="s">
        <v>1093</v>
      </c>
      <c r="H298" s="13">
        <v>2.494559771E9</v>
      </c>
      <c r="I298" s="13" t="s">
        <v>92</v>
      </c>
      <c r="J298" s="13" t="s">
        <v>85</v>
      </c>
      <c r="K298" s="13" t="s">
        <v>86</v>
      </c>
      <c r="L298" s="13">
        <v>78.0</v>
      </c>
      <c r="M298" s="13">
        <v>178.0</v>
      </c>
      <c r="N298" s="13" t="s">
        <v>73</v>
      </c>
      <c r="O298" s="13"/>
      <c r="P298" s="13" t="s">
        <v>74</v>
      </c>
      <c r="Q298" s="13"/>
      <c r="R298" s="13" t="s">
        <v>73</v>
      </c>
      <c r="S298" s="13" t="s">
        <v>73</v>
      </c>
      <c r="T298" s="13" t="s">
        <v>73</v>
      </c>
      <c r="U298" s="13" t="s">
        <v>73</v>
      </c>
      <c r="V298" s="13"/>
      <c r="W298" s="13"/>
      <c r="X298" s="13"/>
      <c r="Y298" s="13" t="s">
        <v>73</v>
      </c>
      <c r="Z298" s="13"/>
      <c r="AA298" s="13" t="s">
        <v>73</v>
      </c>
      <c r="AB298" s="96"/>
      <c r="AC298" s="13" t="s">
        <v>95</v>
      </c>
      <c r="AD298" s="13" t="s">
        <v>78</v>
      </c>
      <c r="AE298" s="13" t="s">
        <v>138</v>
      </c>
      <c r="AF298" s="6" t="s">
        <v>187</v>
      </c>
      <c r="AG298" s="13" t="s">
        <v>81</v>
      </c>
      <c r="AH298" s="13" t="s">
        <v>82</v>
      </c>
      <c r="AI298" s="13"/>
      <c r="AJ298" s="13"/>
      <c r="AK298" s="13"/>
      <c r="AL298" s="13"/>
      <c r="AM298" s="13" t="s">
        <v>1094</v>
      </c>
      <c r="BF298" s="91">
        <v>45502.0</v>
      </c>
      <c r="BG298" s="7" t="s">
        <v>75</v>
      </c>
      <c r="BH298" s="85" t="s">
        <v>1079</v>
      </c>
      <c r="BI298" s="15">
        <f t="shared" si="1"/>
        <v>24</v>
      </c>
      <c r="BJ298" s="15" t="str">
        <f t="shared" si="3"/>
        <v>18-35</v>
      </c>
      <c r="BL298" s="85"/>
      <c r="BM298" s="85"/>
      <c r="BN298" s="13" t="s">
        <v>187</v>
      </c>
    </row>
    <row r="299" ht="15.75" customHeight="1">
      <c r="A299" s="1">
        <v>323.0</v>
      </c>
      <c r="B299" s="2">
        <v>323.0</v>
      </c>
      <c r="C299" s="86">
        <v>45497.04344702546</v>
      </c>
      <c r="D299" s="10" t="s">
        <v>1095</v>
      </c>
      <c r="E299" s="87">
        <v>26018.0</v>
      </c>
      <c r="F299" s="13" t="s">
        <v>67</v>
      </c>
      <c r="G299" s="13" t="s">
        <v>1096</v>
      </c>
      <c r="H299" s="13">
        <v>2.494520065E9</v>
      </c>
      <c r="I299" s="13" t="s">
        <v>92</v>
      </c>
      <c r="J299" s="13" t="s">
        <v>109</v>
      </c>
      <c r="K299" s="13" t="s">
        <v>134</v>
      </c>
      <c r="L299" s="13">
        <v>57.0</v>
      </c>
      <c r="M299" s="13">
        <v>160.0</v>
      </c>
      <c r="N299" s="13" t="s">
        <v>73</v>
      </c>
      <c r="O299" s="13"/>
      <c r="P299" s="13" t="s">
        <v>74</v>
      </c>
      <c r="Q299" s="13"/>
      <c r="R299" s="13" t="s">
        <v>73</v>
      </c>
      <c r="S299" s="13" t="s">
        <v>73</v>
      </c>
      <c r="T299" s="13" t="s">
        <v>73</v>
      </c>
      <c r="U299" s="13" t="s">
        <v>73</v>
      </c>
      <c r="V299" s="13"/>
      <c r="W299" s="13"/>
      <c r="X299" s="13"/>
      <c r="Y299" s="13" t="s">
        <v>73</v>
      </c>
      <c r="Z299" s="13"/>
      <c r="AA299" s="13" t="s">
        <v>73</v>
      </c>
      <c r="AB299" s="96"/>
      <c r="AC299" s="13" t="s">
        <v>102</v>
      </c>
      <c r="AD299" s="13" t="s">
        <v>78</v>
      </c>
      <c r="AE299" s="13" t="s">
        <v>131</v>
      </c>
      <c r="AF299" s="6" t="s">
        <v>80</v>
      </c>
      <c r="AG299" s="13" t="s">
        <v>81</v>
      </c>
      <c r="AH299" s="13" t="s">
        <v>82</v>
      </c>
      <c r="AI299" s="13"/>
      <c r="AJ299" s="13"/>
      <c r="AK299" s="13"/>
      <c r="AL299" s="13"/>
      <c r="AM299" s="13" t="s">
        <v>1097</v>
      </c>
      <c r="BF299" s="91">
        <v>45503.0</v>
      </c>
      <c r="BG299" s="7" t="s">
        <v>75</v>
      </c>
      <c r="BH299" s="85" t="s">
        <v>1079</v>
      </c>
      <c r="BI299" s="15">
        <f t="shared" si="1"/>
        <v>53</v>
      </c>
      <c r="BJ299" s="15" t="str">
        <f t="shared" si="3"/>
        <v>35-55</v>
      </c>
      <c r="BL299" s="85"/>
      <c r="BM299" s="85"/>
      <c r="BN299" s="13" t="s">
        <v>80</v>
      </c>
    </row>
    <row r="300" ht="15.75" customHeight="1">
      <c r="A300" s="1">
        <v>324.0</v>
      </c>
      <c r="B300" s="2">
        <v>324.0</v>
      </c>
      <c r="C300" s="86">
        <v>45497.40799681713</v>
      </c>
      <c r="D300" s="10" t="s">
        <v>1098</v>
      </c>
      <c r="E300" s="87">
        <v>34934.0</v>
      </c>
      <c r="F300" s="13" t="s">
        <v>67</v>
      </c>
      <c r="G300" s="13" t="s">
        <v>1099</v>
      </c>
      <c r="H300" s="13">
        <v>2.494323315E9</v>
      </c>
      <c r="I300" s="13" t="s">
        <v>449</v>
      </c>
      <c r="J300" s="13" t="s">
        <v>146</v>
      </c>
      <c r="K300" s="13" t="s">
        <v>86</v>
      </c>
      <c r="L300" s="13">
        <v>65.0</v>
      </c>
      <c r="M300" s="13">
        <v>1.63</v>
      </c>
      <c r="N300" s="13" t="s">
        <v>73</v>
      </c>
      <c r="O300" s="13"/>
      <c r="P300" s="13" t="s">
        <v>74</v>
      </c>
      <c r="Q300" s="13"/>
      <c r="R300" s="13" t="s">
        <v>73</v>
      </c>
      <c r="S300" s="13" t="s">
        <v>73</v>
      </c>
      <c r="T300" s="13" t="s">
        <v>73</v>
      </c>
      <c r="U300" s="13" t="s">
        <v>73</v>
      </c>
      <c r="V300" s="13"/>
      <c r="W300" s="13"/>
      <c r="X300" s="13"/>
      <c r="Y300" s="13" t="s">
        <v>73</v>
      </c>
      <c r="Z300" s="13"/>
      <c r="AA300" s="13" t="s">
        <v>73</v>
      </c>
      <c r="AB300" s="96"/>
      <c r="AC300" s="13" t="s">
        <v>82</v>
      </c>
      <c r="AD300" s="13" t="s">
        <v>94</v>
      </c>
      <c r="AE300" s="13" t="s">
        <v>113</v>
      </c>
      <c r="AF300" s="6" t="s">
        <v>80</v>
      </c>
      <c r="AG300" s="13" t="s">
        <v>95</v>
      </c>
      <c r="AH300" s="13" t="s">
        <v>82</v>
      </c>
      <c r="AI300" s="13"/>
      <c r="AJ300" s="13"/>
      <c r="AK300" s="13"/>
      <c r="AL300" s="13"/>
      <c r="AM300" s="13" t="s">
        <v>1097</v>
      </c>
      <c r="BF300" s="91">
        <v>45503.0</v>
      </c>
      <c r="BG300" s="7" t="s">
        <v>75</v>
      </c>
      <c r="BH300" s="85" t="s">
        <v>1079</v>
      </c>
      <c r="BI300" s="15">
        <f t="shared" si="1"/>
        <v>29</v>
      </c>
      <c r="BJ300" s="15" t="str">
        <f t="shared" si="3"/>
        <v>18-35</v>
      </c>
      <c r="BL300" s="85"/>
      <c r="BM300" s="85"/>
      <c r="BN300" s="13" t="s">
        <v>80</v>
      </c>
    </row>
    <row r="301" ht="15.75" customHeight="1">
      <c r="A301" s="1">
        <v>325.0</v>
      </c>
      <c r="B301" s="2">
        <v>325.0</v>
      </c>
      <c r="C301" s="97">
        <v>45497.47999644676</v>
      </c>
      <c r="D301" s="42" t="s">
        <v>1100</v>
      </c>
      <c r="E301" s="98">
        <v>37359.0</v>
      </c>
      <c r="F301" s="81" t="s">
        <v>67</v>
      </c>
      <c r="G301" s="81" t="s">
        <v>1101</v>
      </c>
      <c r="H301" s="99" t="s">
        <v>1102</v>
      </c>
      <c r="I301" s="81" t="s">
        <v>92</v>
      </c>
      <c r="J301" s="81" t="s">
        <v>70</v>
      </c>
      <c r="K301" s="81" t="s">
        <v>86</v>
      </c>
      <c r="L301" s="81">
        <v>53.0</v>
      </c>
      <c r="M301" s="81">
        <v>1.66</v>
      </c>
      <c r="N301" s="81" t="s">
        <v>73</v>
      </c>
      <c r="O301" s="81"/>
      <c r="P301" s="81" t="s">
        <v>178</v>
      </c>
      <c r="Q301" s="81"/>
      <c r="R301" s="81" t="s">
        <v>73</v>
      </c>
      <c r="S301" s="81" t="s">
        <v>73</v>
      </c>
      <c r="T301" s="81" t="s">
        <v>73</v>
      </c>
      <c r="U301" s="81" t="s">
        <v>73</v>
      </c>
      <c r="V301" s="81"/>
      <c r="W301" s="81"/>
      <c r="X301" s="81"/>
      <c r="Y301" s="81" t="s">
        <v>75</v>
      </c>
      <c r="Z301" s="99" t="s">
        <v>929</v>
      </c>
      <c r="AA301" s="81" t="s">
        <v>75</v>
      </c>
      <c r="AB301" s="100" t="s">
        <v>76</v>
      </c>
      <c r="AC301" s="81" t="s">
        <v>77</v>
      </c>
      <c r="AD301" s="81" t="s">
        <v>94</v>
      </c>
      <c r="AE301" s="81" t="s">
        <v>131</v>
      </c>
      <c r="AF301" s="6" t="s">
        <v>187</v>
      </c>
      <c r="AG301" s="81" t="s">
        <v>81</v>
      </c>
      <c r="AH301" s="81" t="s">
        <v>102</v>
      </c>
      <c r="AI301" s="81" t="s">
        <v>911</v>
      </c>
      <c r="AJ301" s="81"/>
      <c r="AK301" s="81"/>
      <c r="AL301" s="81"/>
      <c r="AM301" s="81" t="s">
        <v>1103</v>
      </c>
      <c r="BF301" s="91">
        <v>45502.0</v>
      </c>
      <c r="BG301" s="7" t="s">
        <v>75</v>
      </c>
      <c r="BH301" s="85" t="s">
        <v>1079</v>
      </c>
      <c r="BI301" s="15">
        <f t="shared" si="1"/>
        <v>22</v>
      </c>
      <c r="BJ301" s="15" t="str">
        <f t="shared" si="3"/>
        <v>18-35</v>
      </c>
      <c r="BL301" s="85"/>
      <c r="BM301" s="85"/>
      <c r="BN301" s="81" t="s">
        <v>187</v>
      </c>
    </row>
    <row r="302" ht="15.75" customHeight="1">
      <c r="A302" s="1">
        <v>326.0</v>
      </c>
      <c r="B302" s="2">
        <v>326.0</v>
      </c>
      <c r="C302" s="101">
        <v>45497.49970390047</v>
      </c>
      <c r="D302" s="38" t="s">
        <v>960</v>
      </c>
      <c r="E302" s="102">
        <v>35788.0</v>
      </c>
      <c r="F302" s="43" t="s">
        <v>67</v>
      </c>
      <c r="G302" s="43" t="s">
        <v>961</v>
      </c>
      <c r="H302" s="43">
        <v>1.14086449E9</v>
      </c>
      <c r="I302" s="43" t="s">
        <v>841</v>
      </c>
      <c r="J302" s="43" t="s">
        <v>1104</v>
      </c>
      <c r="K302" s="43" t="s">
        <v>71</v>
      </c>
      <c r="L302" s="43">
        <v>56.0</v>
      </c>
      <c r="M302" s="43">
        <v>1.6</v>
      </c>
      <c r="N302" s="43" t="s">
        <v>75</v>
      </c>
      <c r="O302" s="43" t="s">
        <v>962</v>
      </c>
      <c r="P302" s="43" t="s">
        <v>963</v>
      </c>
      <c r="Q302" s="43"/>
      <c r="R302" s="43" t="s">
        <v>73</v>
      </c>
      <c r="S302" s="43" t="s">
        <v>73</v>
      </c>
      <c r="T302" s="43" t="s">
        <v>73</v>
      </c>
      <c r="U302" s="43" t="s">
        <v>73</v>
      </c>
      <c r="V302" s="43"/>
      <c r="W302" s="43"/>
      <c r="X302" s="43"/>
      <c r="Y302" s="43" t="s">
        <v>73</v>
      </c>
      <c r="Z302" s="43"/>
      <c r="AA302" s="43" t="s">
        <v>73</v>
      </c>
      <c r="AB302" s="103"/>
      <c r="AC302" s="43" t="s">
        <v>77</v>
      </c>
      <c r="AD302" s="43" t="s">
        <v>94</v>
      </c>
      <c r="AE302" s="43" t="s">
        <v>131</v>
      </c>
      <c r="AF302" s="6" t="s">
        <v>80</v>
      </c>
      <c r="AG302" s="43" t="s">
        <v>95</v>
      </c>
      <c r="AH302" s="43" t="s">
        <v>102</v>
      </c>
      <c r="AI302" s="43" t="s">
        <v>934</v>
      </c>
      <c r="AJ302" s="43"/>
      <c r="AK302" s="43" t="s">
        <v>918</v>
      </c>
      <c r="AL302" s="43"/>
      <c r="AM302" s="43"/>
      <c r="BF302" s="14">
        <v>45657.0</v>
      </c>
      <c r="BG302" s="7" t="s">
        <v>73</v>
      </c>
      <c r="BI302" s="15">
        <f t="shared" si="1"/>
        <v>27</v>
      </c>
      <c r="BJ302" s="15" t="str">
        <f t="shared" si="3"/>
        <v>18-35</v>
      </c>
      <c r="BL302" s="85"/>
      <c r="BM302" s="85"/>
      <c r="BN302" s="43" t="s">
        <v>80</v>
      </c>
    </row>
    <row r="303" ht="15.75" customHeight="1">
      <c r="A303" s="1">
        <v>327.0</v>
      </c>
      <c r="B303" s="2">
        <v>327.0</v>
      </c>
      <c r="C303" s="86">
        <v>45497.537968564815</v>
      </c>
      <c r="D303" s="10" t="s">
        <v>1105</v>
      </c>
      <c r="E303" s="87">
        <v>38090.0</v>
      </c>
      <c r="F303" s="13" t="s">
        <v>67</v>
      </c>
      <c r="G303" s="13" t="s">
        <v>1106</v>
      </c>
      <c r="H303" s="13">
        <v>2.49432762E9</v>
      </c>
      <c r="I303" s="13" t="s">
        <v>92</v>
      </c>
      <c r="J303" s="13" t="s">
        <v>109</v>
      </c>
      <c r="K303" s="13" t="s">
        <v>71</v>
      </c>
      <c r="L303" s="13">
        <v>56.0</v>
      </c>
      <c r="M303" s="13">
        <v>160.0</v>
      </c>
      <c r="N303" s="13" t="s">
        <v>73</v>
      </c>
      <c r="O303" s="13"/>
      <c r="P303" s="13" t="s">
        <v>74</v>
      </c>
      <c r="Q303" s="13"/>
      <c r="R303" s="13" t="s">
        <v>73</v>
      </c>
      <c r="S303" s="13" t="s">
        <v>73</v>
      </c>
      <c r="T303" s="13" t="s">
        <v>73</v>
      </c>
      <c r="U303" s="13" t="s">
        <v>73</v>
      </c>
      <c r="V303" s="13"/>
      <c r="W303" s="13"/>
      <c r="X303" s="13"/>
      <c r="Y303" s="13" t="s">
        <v>75</v>
      </c>
      <c r="Z303" s="88" t="s">
        <v>929</v>
      </c>
      <c r="AA303" s="13" t="s">
        <v>75</v>
      </c>
      <c r="AB303" s="89" t="s">
        <v>112</v>
      </c>
      <c r="AC303" s="13" t="s">
        <v>77</v>
      </c>
      <c r="AD303" s="13" t="s">
        <v>78</v>
      </c>
      <c r="AE303" s="13" t="s">
        <v>205</v>
      </c>
      <c r="AF303" s="6" t="s">
        <v>80</v>
      </c>
      <c r="AG303" s="13" t="s">
        <v>81</v>
      </c>
      <c r="AH303" s="13" t="s">
        <v>77</v>
      </c>
      <c r="AI303" s="13" t="s">
        <v>911</v>
      </c>
      <c r="AJ303" s="13"/>
      <c r="AK303" s="13"/>
      <c r="AL303" s="13"/>
      <c r="AM303" s="13" t="s">
        <v>1087</v>
      </c>
      <c r="BF303" s="91">
        <v>45504.0</v>
      </c>
      <c r="BG303" s="7" t="s">
        <v>75</v>
      </c>
      <c r="BH303" s="85" t="s">
        <v>1079</v>
      </c>
      <c r="BI303" s="15">
        <f t="shared" si="1"/>
        <v>20</v>
      </c>
      <c r="BJ303" s="15" t="str">
        <f t="shared" si="3"/>
        <v>18-35</v>
      </c>
      <c r="BL303" s="85"/>
      <c r="BM303" s="85"/>
      <c r="BN303" s="13" t="s">
        <v>80</v>
      </c>
    </row>
    <row r="304" ht="15.75" customHeight="1">
      <c r="A304" s="1">
        <v>328.0</v>
      </c>
      <c r="B304" s="2">
        <v>328.0</v>
      </c>
      <c r="C304" s="86">
        <v>45497.56600228009</v>
      </c>
      <c r="D304" s="10" t="s">
        <v>1107</v>
      </c>
      <c r="E304" s="87">
        <v>37360.0</v>
      </c>
      <c r="F304" s="13" t="s">
        <v>67</v>
      </c>
      <c r="G304" s="13" t="s">
        <v>1108</v>
      </c>
      <c r="H304" s="13">
        <v>2.494624713E9</v>
      </c>
      <c r="I304" s="13" t="s">
        <v>92</v>
      </c>
      <c r="J304" s="13" t="s">
        <v>85</v>
      </c>
      <c r="K304" s="13" t="s">
        <v>71</v>
      </c>
      <c r="L304" s="13">
        <v>60.0</v>
      </c>
      <c r="M304" s="13">
        <v>156.0</v>
      </c>
      <c r="N304" s="13" t="s">
        <v>73</v>
      </c>
      <c r="O304" s="13"/>
      <c r="P304" s="13" t="s">
        <v>74</v>
      </c>
      <c r="Q304" s="13"/>
      <c r="R304" s="13" t="s">
        <v>73</v>
      </c>
      <c r="S304" s="13" t="s">
        <v>73</v>
      </c>
      <c r="T304" s="13" t="s">
        <v>73</v>
      </c>
      <c r="U304" s="13" t="s">
        <v>73</v>
      </c>
      <c r="V304" s="13"/>
      <c r="W304" s="13"/>
      <c r="X304" s="13"/>
      <c r="Y304" s="13" t="s">
        <v>73</v>
      </c>
      <c r="Z304" s="13"/>
      <c r="AA304" s="13" t="s">
        <v>73</v>
      </c>
      <c r="AB304" s="96"/>
      <c r="AC304" s="13" t="s">
        <v>102</v>
      </c>
      <c r="AD304" s="13" t="s">
        <v>78</v>
      </c>
      <c r="AE304" s="13" t="s">
        <v>138</v>
      </c>
      <c r="AF304" s="6" t="s">
        <v>80</v>
      </c>
      <c r="AG304" s="13" t="s">
        <v>81</v>
      </c>
      <c r="AH304" s="13" t="s">
        <v>77</v>
      </c>
      <c r="AI304" s="13" t="s">
        <v>970</v>
      </c>
      <c r="AJ304" s="13"/>
      <c r="AK304" s="13"/>
      <c r="AL304" s="13"/>
      <c r="AM304" s="13" t="s">
        <v>1078</v>
      </c>
      <c r="BF304" s="91">
        <v>45502.0</v>
      </c>
      <c r="BG304" s="7" t="s">
        <v>75</v>
      </c>
      <c r="BH304" s="85" t="s">
        <v>1079</v>
      </c>
      <c r="BI304" s="15">
        <f t="shared" si="1"/>
        <v>22</v>
      </c>
      <c r="BJ304" s="15" t="str">
        <f t="shared" si="3"/>
        <v>18-35</v>
      </c>
      <c r="BL304" s="85"/>
      <c r="BM304" s="85"/>
      <c r="BN304" s="13" t="s">
        <v>80</v>
      </c>
    </row>
    <row r="305" ht="15.75" customHeight="1">
      <c r="A305" s="1">
        <v>329.0</v>
      </c>
      <c r="B305" s="2">
        <v>329.0</v>
      </c>
      <c r="C305" s="104">
        <v>45497.57725159722</v>
      </c>
      <c r="D305" s="105" t="s">
        <v>1109</v>
      </c>
      <c r="E305" s="106">
        <v>35935.0</v>
      </c>
      <c r="F305" s="107" t="s">
        <v>67</v>
      </c>
      <c r="G305" s="107" t="s">
        <v>1110</v>
      </c>
      <c r="H305" s="107">
        <v>1.144039487E9</v>
      </c>
      <c r="I305" s="107" t="s">
        <v>92</v>
      </c>
      <c r="J305" s="107" t="s">
        <v>85</v>
      </c>
      <c r="K305" s="107" t="s">
        <v>86</v>
      </c>
      <c r="L305" s="107">
        <v>56.0</v>
      </c>
      <c r="M305" s="107">
        <v>1.67</v>
      </c>
      <c r="N305" s="107" t="s">
        <v>73</v>
      </c>
      <c r="O305" s="107"/>
      <c r="P305" s="107" t="s">
        <v>1111</v>
      </c>
      <c r="Q305" s="107"/>
      <c r="R305" s="107" t="s">
        <v>73</v>
      </c>
      <c r="S305" s="107" t="s">
        <v>73</v>
      </c>
      <c r="T305" s="107" t="s">
        <v>73</v>
      </c>
      <c r="U305" s="107" t="s">
        <v>75</v>
      </c>
      <c r="V305" s="107" t="s">
        <v>228</v>
      </c>
      <c r="W305" s="107" t="s">
        <v>694</v>
      </c>
      <c r="X305" s="108">
        <v>41699.0</v>
      </c>
      <c r="Y305" s="107" t="s">
        <v>73</v>
      </c>
      <c r="Z305" s="107"/>
      <c r="AA305" s="107" t="s">
        <v>75</v>
      </c>
      <c r="AB305" s="109" t="s">
        <v>76</v>
      </c>
      <c r="AC305" s="107" t="s">
        <v>77</v>
      </c>
      <c r="AD305" s="107" t="s">
        <v>78</v>
      </c>
      <c r="AE305" s="13" t="s">
        <v>131</v>
      </c>
      <c r="AF305" s="6" t="s">
        <v>80</v>
      </c>
      <c r="AG305" s="107" t="s">
        <v>77</v>
      </c>
      <c r="AH305" s="107" t="s">
        <v>102</v>
      </c>
      <c r="AI305" s="107" t="s">
        <v>934</v>
      </c>
      <c r="AJ305" s="107"/>
      <c r="AK305" s="107" t="s">
        <v>912</v>
      </c>
      <c r="AL305" s="107"/>
      <c r="AM305" s="107"/>
      <c r="BF305" s="14">
        <v>45657.0</v>
      </c>
      <c r="BG305" s="7" t="s">
        <v>73</v>
      </c>
      <c r="BI305" s="15">
        <f t="shared" si="1"/>
        <v>26</v>
      </c>
      <c r="BJ305" s="15" t="str">
        <f t="shared" si="3"/>
        <v>18-35</v>
      </c>
      <c r="BL305" s="85"/>
      <c r="BM305" s="85"/>
      <c r="BN305" s="107" t="s">
        <v>80</v>
      </c>
    </row>
    <row r="306" ht="15.75" customHeight="1">
      <c r="A306" s="1">
        <v>330.0</v>
      </c>
      <c r="B306" s="2">
        <v>330.0</v>
      </c>
      <c r="C306" s="86">
        <v>45497.58155447917</v>
      </c>
      <c r="D306" s="10" t="s">
        <v>1112</v>
      </c>
      <c r="E306" s="87">
        <v>31044.0</v>
      </c>
      <c r="F306" s="13" t="s">
        <v>67</v>
      </c>
      <c r="G306" s="13" t="s">
        <v>1075</v>
      </c>
      <c r="H306" s="13">
        <v>1.162567802E9</v>
      </c>
      <c r="I306" s="13" t="s">
        <v>449</v>
      </c>
      <c r="J306" s="13" t="s">
        <v>85</v>
      </c>
      <c r="K306" s="13" t="s">
        <v>134</v>
      </c>
      <c r="L306" s="13">
        <v>61.0</v>
      </c>
      <c r="M306" s="13">
        <v>1.65</v>
      </c>
      <c r="N306" s="13" t="s">
        <v>73</v>
      </c>
      <c r="O306" s="13"/>
      <c r="P306" s="13" t="s">
        <v>178</v>
      </c>
      <c r="Q306" s="13"/>
      <c r="R306" s="13" t="s">
        <v>73</v>
      </c>
      <c r="S306" s="13" t="s">
        <v>73</v>
      </c>
      <c r="T306" s="13" t="s">
        <v>73</v>
      </c>
      <c r="U306" s="13" t="s">
        <v>73</v>
      </c>
      <c r="V306" s="13"/>
      <c r="W306" s="13"/>
      <c r="X306" s="13"/>
      <c r="Y306" s="13" t="s">
        <v>73</v>
      </c>
      <c r="Z306" s="13"/>
      <c r="AA306" s="13" t="s">
        <v>75</v>
      </c>
      <c r="AB306" s="89" t="s">
        <v>76</v>
      </c>
      <c r="AC306" s="13" t="s">
        <v>102</v>
      </c>
      <c r="AD306" s="13" t="s">
        <v>94</v>
      </c>
      <c r="AE306" s="13" t="s">
        <v>131</v>
      </c>
      <c r="AF306" s="6" t="s">
        <v>80</v>
      </c>
      <c r="AG306" s="13" t="s">
        <v>81</v>
      </c>
      <c r="AH306" s="13" t="s">
        <v>96</v>
      </c>
      <c r="AI306" s="13" t="s">
        <v>948</v>
      </c>
      <c r="AJ306" s="13"/>
      <c r="AK306" s="13" t="s">
        <v>923</v>
      </c>
      <c r="AL306" s="13"/>
      <c r="AM306" s="13"/>
      <c r="BF306" s="14">
        <v>45657.0</v>
      </c>
      <c r="BG306" s="7" t="s">
        <v>75</v>
      </c>
      <c r="BH306" s="85" t="s">
        <v>190</v>
      </c>
      <c r="BI306" s="15">
        <f t="shared" si="1"/>
        <v>40</v>
      </c>
      <c r="BJ306" s="15" t="str">
        <f t="shared" si="3"/>
        <v>35-55</v>
      </c>
      <c r="BL306" s="85"/>
      <c r="BM306" s="85"/>
      <c r="BN306" s="13" t="s">
        <v>80</v>
      </c>
    </row>
    <row r="307" ht="15.75" customHeight="1">
      <c r="A307" s="1">
        <v>331.0</v>
      </c>
      <c r="B307" s="2">
        <v>331.0</v>
      </c>
      <c r="C307" s="86">
        <v>45497.64882502315</v>
      </c>
      <c r="D307" s="10" t="s">
        <v>1113</v>
      </c>
      <c r="E307" s="87">
        <v>36139.0</v>
      </c>
      <c r="F307" s="13" t="s">
        <v>106</v>
      </c>
      <c r="G307" s="13" t="s">
        <v>1114</v>
      </c>
      <c r="H307" s="13">
        <v>2.494514444E9</v>
      </c>
      <c r="I307" s="13" t="s">
        <v>92</v>
      </c>
      <c r="J307" s="13" t="s">
        <v>109</v>
      </c>
      <c r="K307" s="13" t="s">
        <v>71</v>
      </c>
      <c r="L307" s="13">
        <v>70.0</v>
      </c>
      <c r="M307" s="13">
        <v>175.0</v>
      </c>
      <c r="N307" s="13" t="s">
        <v>73</v>
      </c>
      <c r="O307" s="13"/>
      <c r="P307" s="13" t="s">
        <v>74</v>
      </c>
      <c r="Q307" s="13"/>
      <c r="R307" s="13" t="s">
        <v>73</v>
      </c>
      <c r="S307" s="13" t="s">
        <v>73</v>
      </c>
      <c r="T307" s="13" t="s">
        <v>73</v>
      </c>
      <c r="U307" s="13" t="s">
        <v>73</v>
      </c>
      <c r="V307" s="13"/>
      <c r="W307" s="13"/>
      <c r="X307" s="13"/>
      <c r="Y307" s="13" t="s">
        <v>73</v>
      </c>
      <c r="Z307" s="13"/>
      <c r="AA307" s="13" t="s">
        <v>75</v>
      </c>
      <c r="AB307" s="89" t="s">
        <v>76</v>
      </c>
      <c r="AC307" s="13" t="s">
        <v>77</v>
      </c>
      <c r="AD307" s="13" t="s">
        <v>94</v>
      </c>
      <c r="AE307" s="13" t="s">
        <v>131</v>
      </c>
      <c r="AF307" s="6" t="s">
        <v>80</v>
      </c>
      <c r="AG307" s="13" t="s">
        <v>81</v>
      </c>
      <c r="AH307" s="13" t="s">
        <v>82</v>
      </c>
      <c r="AI307" s="13"/>
      <c r="AJ307" s="13"/>
      <c r="AK307" s="13" t="s">
        <v>912</v>
      </c>
      <c r="AL307" s="13"/>
      <c r="AM307" s="13"/>
      <c r="BF307" s="14">
        <v>45657.0</v>
      </c>
      <c r="BG307" s="7" t="s">
        <v>75</v>
      </c>
      <c r="BH307" s="85" t="s">
        <v>190</v>
      </c>
      <c r="BI307" s="15">
        <f t="shared" si="1"/>
        <v>26</v>
      </c>
      <c r="BJ307" s="15" t="str">
        <f t="shared" si="3"/>
        <v>18-35</v>
      </c>
      <c r="BL307" s="85"/>
      <c r="BM307" s="85"/>
      <c r="BN307" s="13" t="s">
        <v>80</v>
      </c>
    </row>
    <row r="308" ht="15.75" customHeight="1">
      <c r="A308" s="1">
        <v>332.0</v>
      </c>
      <c r="B308" s="2">
        <v>332.0</v>
      </c>
      <c r="C308" s="92">
        <v>45497.71825240741</v>
      </c>
      <c r="D308" s="33" t="s">
        <v>1115</v>
      </c>
      <c r="E308" s="93">
        <v>25780.0</v>
      </c>
      <c r="F308" s="94" t="s">
        <v>67</v>
      </c>
      <c r="G308" s="94" t="s">
        <v>1116</v>
      </c>
      <c r="H308" s="94">
        <v>2.494628925E9</v>
      </c>
      <c r="I308" s="94" t="s">
        <v>92</v>
      </c>
      <c r="J308" s="94" t="s">
        <v>109</v>
      </c>
      <c r="K308" s="94" t="s">
        <v>71</v>
      </c>
      <c r="L308" s="94">
        <v>57.0</v>
      </c>
      <c r="M308" s="94">
        <v>158.0</v>
      </c>
      <c r="N308" s="94" t="s">
        <v>73</v>
      </c>
      <c r="O308" s="94"/>
      <c r="P308" s="94" t="s">
        <v>329</v>
      </c>
      <c r="Q308" s="94"/>
      <c r="R308" s="94" t="s">
        <v>75</v>
      </c>
      <c r="S308" s="94" t="s">
        <v>73</v>
      </c>
      <c r="T308" s="94" t="s">
        <v>73</v>
      </c>
      <c r="U308" s="94" t="s">
        <v>75</v>
      </c>
      <c r="V308" s="94" t="s">
        <v>1117</v>
      </c>
      <c r="W308" s="94" t="s">
        <v>694</v>
      </c>
      <c r="X308" s="110">
        <v>45477.0</v>
      </c>
      <c r="Y308" s="94" t="s">
        <v>73</v>
      </c>
      <c r="Z308" s="94"/>
      <c r="AA308" s="94" t="s">
        <v>75</v>
      </c>
      <c r="AB308" s="95" t="s">
        <v>76</v>
      </c>
      <c r="AC308" s="94" t="s">
        <v>77</v>
      </c>
      <c r="AD308" s="94" t="s">
        <v>78</v>
      </c>
      <c r="AE308" s="94" t="s">
        <v>131</v>
      </c>
      <c r="AF308" s="6" t="s">
        <v>151</v>
      </c>
      <c r="AG308" s="94" t="s">
        <v>95</v>
      </c>
      <c r="AH308" s="94" t="s">
        <v>102</v>
      </c>
      <c r="AI308" s="94" t="s">
        <v>948</v>
      </c>
      <c r="AJ308" s="94"/>
      <c r="AK308" s="94" t="s">
        <v>918</v>
      </c>
      <c r="AL308" s="94"/>
      <c r="AM308" s="94" t="s">
        <v>1083</v>
      </c>
      <c r="BF308" s="14">
        <v>45657.0</v>
      </c>
      <c r="BG308" s="7" t="s">
        <v>73</v>
      </c>
      <c r="BI308" s="15">
        <f t="shared" si="1"/>
        <v>54</v>
      </c>
      <c r="BJ308" s="15" t="str">
        <f t="shared" si="3"/>
        <v>35-55</v>
      </c>
      <c r="BL308" s="85"/>
      <c r="BM308" s="85"/>
      <c r="BN308" s="94" t="s">
        <v>151</v>
      </c>
    </row>
    <row r="309" ht="15.75" customHeight="1">
      <c r="A309" s="1">
        <v>333.0</v>
      </c>
      <c r="B309" s="2">
        <v>333.0</v>
      </c>
      <c r="C309" s="86">
        <v>45497.89915946759</v>
      </c>
      <c r="D309" s="10" t="s">
        <v>1118</v>
      </c>
      <c r="E309" s="87">
        <v>36284.0</v>
      </c>
      <c r="F309" s="13" t="s">
        <v>67</v>
      </c>
      <c r="G309" s="13" t="s">
        <v>1119</v>
      </c>
      <c r="H309" s="13">
        <v>2.915733506E9</v>
      </c>
      <c r="I309" s="13" t="s">
        <v>92</v>
      </c>
      <c r="J309" s="13" t="s">
        <v>85</v>
      </c>
      <c r="K309" s="13" t="s">
        <v>86</v>
      </c>
      <c r="L309" s="13">
        <v>75.0</v>
      </c>
      <c r="M309" s="13">
        <v>1.75</v>
      </c>
      <c r="N309" s="13" t="s">
        <v>73</v>
      </c>
      <c r="O309" s="13"/>
      <c r="P309" s="13" t="s">
        <v>74</v>
      </c>
      <c r="Q309" s="13"/>
      <c r="R309" s="13" t="s">
        <v>73</v>
      </c>
      <c r="S309" s="13" t="s">
        <v>75</v>
      </c>
      <c r="T309" s="13" t="s">
        <v>73</v>
      </c>
      <c r="U309" s="13" t="s">
        <v>73</v>
      </c>
      <c r="V309" s="13"/>
      <c r="W309" s="13"/>
      <c r="X309" s="13"/>
      <c r="Y309" s="13" t="s">
        <v>73</v>
      </c>
      <c r="Z309" s="13"/>
      <c r="AA309" s="13" t="s">
        <v>75</v>
      </c>
      <c r="AB309" s="89" t="s">
        <v>76</v>
      </c>
      <c r="AC309" s="13" t="s">
        <v>102</v>
      </c>
      <c r="AD309" s="13" t="s">
        <v>78</v>
      </c>
      <c r="AE309" s="13" t="s">
        <v>113</v>
      </c>
      <c r="AF309" s="6" t="s">
        <v>80</v>
      </c>
      <c r="AG309" s="13" t="s">
        <v>81</v>
      </c>
      <c r="AH309" s="13" t="s">
        <v>102</v>
      </c>
      <c r="AI309" s="13" t="s">
        <v>911</v>
      </c>
      <c r="AJ309" s="13"/>
      <c r="AK309" s="13"/>
      <c r="AL309" s="13"/>
      <c r="AM309" s="13" t="s">
        <v>1078</v>
      </c>
      <c r="BF309" s="91">
        <v>45502.0</v>
      </c>
      <c r="BG309" s="7" t="s">
        <v>75</v>
      </c>
      <c r="BH309" s="85" t="s">
        <v>1079</v>
      </c>
      <c r="BI309" s="15">
        <f t="shared" si="1"/>
        <v>25</v>
      </c>
      <c r="BJ309" s="15" t="str">
        <f t="shared" si="3"/>
        <v>18-35</v>
      </c>
      <c r="BL309" s="85"/>
      <c r="BM309" s="85"/>
      <c r="BN309" s="13" t="s">
        <v>80</v>
      </c>
    </row>
    <row r="310" ht="15.75" customHeight="1">
      <c r="A310" s="1">
        <v>334.0</v>
      </c>
      <c r="B310" s="2">
        <v>334.0</v>
      </c>
      <c r="C310" s="92">
        <v>45497.91448565973</v>
      </c>
      <c r="D310" s="33" t="s">
        <v>1120</v>
      </c>
      <c r="E310" s="93">
        <v>36614.0</v>
      </c>
      <c r="F310" s="94" t="s">
        <v>67</v>
      </c>
      <c r="G310" s="94" t="s">
        <v>1121</v>
      </c>
      <c r="H310" s="94">
        <v>2.494309482E9</v>
      </c>
      <c r="I310" s="94" t="s">
        <v>92</v>
      </c>
      <c r="J310" s="94" t="s">
        <v>109</v>
      </c>
      <c r="K310" s="94" t="s">
        <v>166</v>
      </c>
      <c r="L310" s="94">
        <v>70.0</v>
      </c>
      <c r="M310" s="94">
        <v>1.2</v>
      </c>
      <c r="N310" s="94" t="s">
        <v>73</v>
      </c>
      <c r="O310" s="94"/>
      <c r="P310" s="94" t="s">
        <v>329</v>
      </c>
      <c r="Q310" s="94"/>
      <c r="R310" s="94" t="s">
        <v>73</v>
      </c>
      <c r="S310" s="94" t="s">
        <v>73</v>
      </c>
      <c r="T310" s="94" t="s">
        <v>73</v>
      </c>
      <c r="U310" s="94" t="s">
        <v>73</v>
      </c>
      <c r="V310" s="94"/>
      <c r="W310" s="94"/>
      <c r="X310" s="94"/>
      <c r="Y310" s="94" t="s">
        <v>73</v>
      </c>
      <c r="Z310" s="94"/>
      <c r="AA310" s="94" t="s">
        <v>75</v>
      </c>
      <c r="AB310" s="95" t="s">
        <v>112</v>
      </c>
      <c r="AC310" s="94" t="s">
        <v>77</v>
      </c>
      <c r="AD310" s="94" t="s">
        <v>78</v>
      </c>
      <c r="AE310" s="94" t="s">
        <v>131</v>
      </c>
      <c r="AF310" s="6" t="s">
        <v>151</v>
      </c>
      <c r="AG310" s="94" t="s">
        <v>95</v>
      </c>
      <c r="AH310" s="94" t="s">
        <v>77</v>
      </c>
      <c r="AI310" s="94" t="s">
        <v>989</v>
      </c>
      <c r="AJ310" s="94"/>
      <c r="AK310" s="94"/>
      <c r="AL310" s="94"/>
      <c r="AM310" s="94" t="s">
        <v>1083</v>
      </c>
      <c r="BF310" s="14">
        <v>45657.0</v>
      </c>
      <c r="BG310" s="7" t="s">
        <v>73</v>
      </c>
      <c r="BI310" s="15">
        <f t="shared" si="1"/>
        <v>24</v>
      </c>
      <c r="BJ310" s="15" t="str">
        <f t="shared" si="3"/>
        <v>18-35</v>
      </c>
      <c r="BL310" s="85"/>
      <c r="BM310" s="85"/>
      <c r="BN310" s="94" t="s">
        <v>151</v>
      </c>
    </row>
    <row r="311" ht="15.75" customHeight="1">
      <c r="A311" s="1">
        <v>335.0</v>
      </c>
      <c r="B311" s="2">
        <v>335.0</v>
      </c>
      <c r="C311" s="86">
        <v>45497.916361261574</v>
      </c>
      <c r="D311" s="10" t="s">
        <v>1122</v>
      </c>
      <c r="E311" s="87">
        <v>34651.0</v>
      </c>
      <c r="F311" s="13" t="s">
        <v>106</v>
      </c>
      <c r="G311" s="13" t="s">
        <v>1123</v>
      </c>
      <c r="H311" s="13" t="s">
        <v>1124</v>
      </c>
      <c r="I311" s="13" t="s">
        <v>92</v>
      </c>
      <c r="J311" s="13" t="s">
        <v>109</v>
      </c>
      <c r="K311" s="13" t="s">
        <v>86</v>
      </c>
      <c r="L311" s="13">
        <v>70.0</v>
      </c>
      <c r="M311" s="13">
        <v>170.0</v>
      </c>
      <c r="N311" s="13" t="s">
        <v>73</v>
      </c>
      <c r="O311" s="13"/>
      <c r="P311" s="13" t="s">
        <v>74</v>
      </c>
      <c r="Q311" s="13"/>
      <c r="R311" s="13" t="s">
        <v>73</v>
      </c>
      <c r="S311" s="13" t="s">
        <v>73</v>
      </c>
      <c r="T311" s="13" t="s">
        <v>73</v>
      </c>
      <c r="U311" s="13" t="s">
        <v>73</v>
      </c>
      <c r="V311" s="13"/>
      <c r="W311" s="13"/>
      <c r="X311" s="13"/>
      <c r="Y311" s="13" t="s">
        <v>73</v>
      </c>
      <c r="Z311" s="13"/>
      <c r="AA311" s="13" t="s">
        <v>75</v>
      </c>
      <c r="AB311" s="89" t="s">
        <v>76</v>
      </c>
      <c r="AC311" s="13" t="s">
        <v>77</v>
      </c>
      <c r="AD311" s="13" t="s">
        <v>94</v>
      </c>
      <c r="AE311" s="13" t="s">
        <v>205</v>
      </c>
      <c r="AF311" s="6" t="s">
        <v>80</v>
      </c>
      <c r="AG311" s="13" t="s">
        <v>81</v>
      </c>
      <c r="AH311" s="13" t="s">
        <v>82</v>
      </c>
      <c r="AI311" s="13"/>
      <c r="AJ311" s="13"/>
      <c r="AK311" s="13"/>
      <c r="AL311" s="13"/>
      <c r="AM311" s="13" t="s">
        <v>1078</v>
      </c>
      <c r="BF311" s="91">
        <v>45502.0</v>
      </c>
      <c r="BG311" s="7" t="s">
        <v>75</v>
      </c>
      <c r="BH311" s="85" t="s">
        <v>1079</v>
      </c>
      <c r="BI311" s="15">
        <f t="shared" si="1"/>
        <v>30</v>
      </c>
      <c r="BJ311" s="15" t="str">
        <f t="shared" si="3"/>
        <v>18-35</v>
      </c>
      <c r="BL311" s="85"/>
      <c r="BM311" s="85"/>
      <c r="BN311" s="13" t="s">
        <v>80</v>
      </c>
    </row>
    <row r="312" ht="15.75" customHeight="1">
      <c r="A312" s="1">
        <v>336.0</v>
      </c>
      <c r="B312" s="2">
        <v>336.0</v>
      </c>
      <c r="C312" s="86">
        <v>45497.91911106481</v>
      </c>
      <c r="D312" s="10" t="s">
        <v>1125</v>
      </c>
      <c r="E312" s="87">
        <v>23480.0</v>
      </c>
      <c r="F312" s="13" t="s">
        <v>67</v>
      </c>
      <c r="G312" s="13" t="s">
        <v>1126</v>
      </c>
      <c r="H312" s="13">
        <v>2.494574933E9</v>
      </c>
      <c r="I312" s="13" t="s">
        <v>92</v>
      </c>
      <c r="J312" s="13" t="s">
        <v>109</v>
      </c>
      <c r="K312" s="13" t="s">
        <v>134</v>
      </c>
      <c r="L312" s="13">
        <v>62.0</v>
      </c>
      <c r="M312" s="13">
        <v>157.0</v>
      </c>
      <c r="N312" s="13" t="s">
        <v>75</v>
      </c>
      <c r="O312" s="13" t="s">
        <v>1127</v>
      </c>
      <c r="P312" s="13" t="s">
        <v>74</v>
      </c>
      <c r="Q312" s="13"/>
      <c r="R312" s="13" t="s">
        <v>73</v>
      </c>
      <c r="S312" s="13" t="s">
        <v>73</v>
      </c>
      <c r="T312" s="13" t="s">
        <v>73</v>
      </c>
      <c r="U312" s="13" t="s">
        <v>75</v>
      </c>
      <c r="V312" s="13" t="s">
        <v>202</v>
      </c>
      <c r="W312" s="13" t="s">
        <v>694</v>
      </c>
      <c r="X312" s="90">
        <v>42319.0</v>
      </c>
      <c r="Y312" s="13" t="s">
        <v>75</v>
      </c>
      <c r="Z312" s="88" t="s">
        <v>929</v>
      </c>
      <c r="AA312" s="13" t="s">
        <v>75</v>
      </c>
      <c r="AB312" s="89" t="s">
        <v>76</v>
      </c>
      <c r="AC312" s="13" t="s">
        <v>95</v>
      </c>
      <c r="AD312" s="13" t="s">
        <v>78</v>
      </c>
      <c r="AE312" s="13" t="s">
        <v>131</v>
      </c>
      <c r="AF312" s="6" t="s">
        <v>151</v>
      </c>
      <c r="AG312" s="13" t="s">
        <v>95</v>
      </c>
      <c r="AH312" s="13" t="s">
        <v>96</v>
      </c>
      <c r="AI312" s="13" t="s">
        <v>994</v>
      </c>
      <c r="AJ312" s="13"/>
      <c r="AK312" s="13"/>
      <c r="AL312" s="13"/>
      <c r="AM312" s="13" t="s">
        <v>1128</v>
      </c>
      <c r="BF312" s="91">
        <v>45503.0</v>
      </c>
      <c r="BG312" s="7" t="s">
        <v>75</v>
      </c>
      <c r="BH312" s="85" t="s">
        <v>1079</v>
      </c>
      <c r="BI312" s="15">
        <f t="shared" si="1"/>
        <v>60</v>
      </c>
      <c r="BJ312" s="15" t="str">
        <f t="shared" si="3"/>
        <v>&gt;55</v>
      </c>
      <c r="BL312" s="85"/>
      <c r="BM312" s="85"/>
      <c r="BN312" s="13" t="s">
        <v>151</v>
      </c>
    </row>
    <row r="313" ht="15.75" customHeight="1">
      <c r="A313" s="1">
        <v>337.0</v>
      </c>
      <c r="B313" s="2">
        <v>337.0</v>
      </c>
      <c r="C313" s="92">
        <v>45497.92256331019</v>
      </c>
      <c r="D313" s="33" t="s">
        <v>1129</v>
      </c>
      <c r="E313" s="93" t="s">
        <v>1130</v>
      </c>
      <c r="F313" s="94" t="s">
        <v>67</v>
      </c>
      <c r="G313" s="94" t="s">
        <v>1131</v>
      </c>
      <c r="H313" s="94">
        <v>2.494609861E9</v>
      </c>
      <c r="I313" s="94" t="s">
        <v>69</v>
      </c>
      <c r="J313" s="94" t="s">
        <v>70</v>
      </c>
      <c r="K313" s="94" t="s">
        <v>166</v>
      </c>
      <c r="L313" s="94">
        <v>67.0</v>
      </c>
      <c r="M313" s="94">
        <v>160.0</v>
      </c>
      <c r="N313" s="94" t="s">
        <v>75</v>
      </c>
      <c r="O313" s="94"/>
      <c r="P313" s="94" t="s">
        <v>1132</v>
      </c>
      <c r="Q313" s="94"/>
      <c r="R313" s="94" t="s">
        <v>73</v>
      </c>
      <c r="S313" s="94" t="s">
        <v>73</v>
      </c>
      <c r="T313" s="94" t="s">
        <v>73</v>
      </c>
      <c r="U313" s="94" t="s">
        <v>73</v>
      </c>
      <c r="V313" s="94"/>
      <c r="W313" s="94"/>
      <c r="X313" s="94"/>
      <c r="Y313" s="94" t="s">
        <v>73</v>
      </c>
      <c r="Z313" s="94"/>
      <c r="AA313" s="94" t="s">
        <v>75</v>
      </c>
      <c r="AB313" s="95" t="s">
        <v>76</v>
      </c>
      <c r="AC313" s="94" t="s">
        <v>95</v>
      </c>
      <c r="AD313" s="94" t="s">
        <v>78</v>
      </c>
      <c r="AE313" s="94" t="s">
        <v>205</v>
      </c>
      <c r="AF313" s="6" t="s">
        <v>80</v>
      </c>
      <c r="AG313" s="94" t="s">
        <v>95</v>
      </c>
      <c r="AH313" s="94" t="s">
        <v>102</v>
      </c>
      <c r="AI313" s="94" t="s">
        <v>989</v>
      </c>
      <c r="AJ313" s="94"/>
      <c r="AK313" s="94"/>
      <c r="AL313" s="94"/>
      <c r="AM313" s="94" t="s">
        <v>1128</v>
      </c>
      <c r="BF313" s="111">
        <v>45657.0</v>
      </c>
      <c r="BG313" s="49" t="s">
        <v>73</v>
      </c>
      <c r="BH313" s="112"/>
      <c r="BI313" s="113">
        <v>56.0</v>
      </c>
      <c r="BJ313" s="113" t="str">
        <f t="shared" si="3"/>
        <v>&gt;55</v>
      </c>
      <c r="BL313" s="85"/>
      <c r="BM313" s="85"/>
      <c r="BN313" s="94" t="s">
        <v>80</v>
      </c>
    </row>
    <row r="314" ht="15.75" customHeight="1">
      <c r="A314" s="1">
        <v>338.0</v>
      </c>
      <c r="B314" s="2">
        <v>338.0</v>
      </c>
      <c r="C314" s="104">
        <v>45497.92337203704</v>
      </c>
      <c r="D314" s="105" t="s">
        <v>1133</v>
      </c>
      <c r="E314" s="106">
        <v>31951.0</v>
      </c>
      <c r="F314" s="107" t="s">
        <v>67</v>
      </c>
      <c r="G314" s="107" t="s">
        <v>1134</v>
      </c>
      <c r="H314" s="107">
        <v>2.494693222E9</v>
      </c>
      <c r="I314" s="107" t="s">
        <v>92</v>
      </c>
      <c r="J314" s="107" t="s">
        <v>70</v>
      </c>
      <c r="K314" s="107" t="s">
        <v>134</v>
      </c>
      <c r="L314" s="107">
        <v>67.0</v>
      </c>
      <c r="M314" s="107">
        <v>173.0</v>
      </c>
      <c r="N314" s="107" t="s">
        <v>73</v>
      </c>
      <c r="O314" s="107"/>
      <c r="P314" s="107" t="s">
        <v>1111</v>
      </c>
      <c r="Q314" s="107"/>
      <c r="R314" s="107" t="s">
        <v>73</v>
      </c>
      <c r="S314" s="107" t="s">
        <v>73</v>
      </c>
      <c r="T314" s="107" t="s">
        <v>73</v>
      </c>
      <c r="U314" s="107" t="s">
        <v>73</v>
      </c>
      <c r="V314" s="107"/>
      <c r="W314" s="107"/>
      <c r="X314" s="107"/>
      <c r="Y314" s="107" t="s">
        <v>73</v>
      </c>
      <c r="Z314" s="107"/>
      <c r="AA314" s="107" t="s">
        <v>75</v>
      </c>
      <c r="AB314" s="114" t="s">
        <v>484</v>
      </c>
      <c r="AC314" s="107" t="s">
        <v>77</v>
      </c>
      <c r="AD314" s="107" t="s">
        <v>78</v>
      </c>
      <c r="AE314" s="13" t="s">
        <v>79</v>
      </c>
      <c r="AF314" s="6" t="s">
        <v>80</v>
      </c>
      <c r="AG314" s="107" t="s">
        <v>81</v>
      </c>
      <c r="AH314" s="107" t="s">
        <v>77</v>
      </c>
      <c r="AI314" s="107" t="s">
        <v>951</v>
      </c>
      <c r="AJ314" s="107"/>
      <c r="AK314" s="107"/>
      <c r="AL314" s="107"/>
      <c r="AM314" s="107" t="s">
        <v>1078</v>
      </c>
      <c r="BF314" s="14">
        <v>45657.0</v>
      </c>
      <c r="BG314" s="7" t="s">
        <v>73</v>
      </c>
      <c r="BI314" s="15">
        <f t="shared" ref="BI314:BI324" si="4">YEAR(BF314)-YEAR(E314)</f>
        <v>37</v>
      </c>
      <c r="BJ314" s="15" t="str">
        <f t="shared" si="3"/>
        <v>35-55</v>
      </c>
      <c r="BL314" s="85"/>
      <c r="BM314" s="85"/>
      <c r="BN314" s="107" t="s">
        <v>80</v>
      </c>
    </row>
    <row r="315" ht="15.75" customHeight="1">
      <c r="A315" s="1">
        <v>339.0</v>
      </c>
      <c r="B315" s="2">
        <v>339.0</v>
      </c>
      <c r="C315" s="86">
        <v>45497.92603203704</v>
      </c>
      <c r="D315" s="10" t="s">
        <v>1135</v>
      </c>
      <c r="E315" s="87">
        <v>26605.0</v>
      </c>
      <c r="F315" s="13" t="s">
        <v>67</v>
      </c>
      <c r="G315" s="13" t="s">
        <v>1136</v>
      </c>
      <c r="H315" s="13">
        <v>2.494338723E9</v>
      </c>
      <c r="I315" s="13" t="s">
        <v>92</v>
      </c>
      <c r="J315" s="13" t="s">
        <v>85</v>
      </c>
      <c r="K315" s="13" t="s">
        <v>134</v>
      </c>
      <c r="L315" s="13">
        <v>59.0</v>
      </c>
      <c r="M315" s="13">
        <v>1.65</v>
      </c>
      <c r="N315" s="13" t="s">
        <v>73</v>
      </c>
      <c r="O315" s="13"/>
      <c r="P315" s="13" t="s">
        <v>74</v>
      </c>
      <c r="Q315" s="13"/>
      <c r="R315" s="13" t="s">
        <v>73</v>
      </c>
      <c r="S315" s="13" t="s">
        <v>73</v>
      </c>
      <c r="T315" s="13" t="s">
        <v>73</v>
      </c>
      <c r="U315" s="13" t="s">
        <v>73</v>
      </c>
      <c r="V315" s="13"/>
      <c r="W315" s="13"/>
      <c r="X315" s="13"/>
      <c r="Y315" s="13" t="s">
        <v>73</v>
      </c>
      <c r="Z315" s="13"/>
      <c r="AA315" s="13" t="s">
        <v>73</v>
      </c>
      <c r="AB315" s="96"/>
      <c r="AC315" s="13" t="s">
        <v>77</v>
      </c>
      <c r="AD315" s="13" t="s">
        <v>94</v>
      </c>
      <c r="AE315" s="13" t="s">
        <v>131</v>
      </c>
      <c r="AF315" s="6" t="s">
        <v>187</v>
      </c>
      <c r="AG315" s="13" t="s">
        <v>81</v>
      </c>
      <c r="AH315" s="13" t="s">
        <v>96</v>
      </c>
      <c r="AI315" s="13" t="s">
        <v>1137</v>
      </c>
      <c r="AJ315" s="13"/>
      <c r="AK315" s="13"/>
      <c r="AL315" s="13"/>
      <c r="AM315" s="13" t="s">
        <v>1103</v>
      </c>
      <c r="BF315" s="91">
        <v>45502.0</v>
      </c>
      <c r="BG315" s="7" t="s">
        <v>75</v>
      </c>
      <c r="BH315" s="85" t="s">
        <v>1079</v>
      </c>
      <c r="BI315" s="15">
        <f t="shared" si="4"/>
        <v>52</v>
      </c>
      <c r="BJ315" s="15" t="str">
        <f t="shared" si="3"/>
        <v>35-55</v>
      </c>
      <c r="BL315" s="85"/>
      <c r="BM315" s="85"/>
      <c r="BN315" s="13" t="s">
        <v>187</v>
      </c>
    </row>
    <row r="316" ht="15.75" customHeight="1">
      <c r="A316" s="1">
        <v>340.0</v>
      </c>
      <c r="B316" s="2">
        <v>340.0</v>
      </c>
      <c r="C316" s="115">
        <v>45497.926285636575</v>
      </c>
      <c r="D316" s="18" t="s">
        <v>1138</v>
      </c>
      <c r="E316" s="116">
        <v>34600.0</v>
      </c>
      <c r="F316" s="117" t="s">
        <v>67</v>
      </c>
      <c r="G316" s="117" t="s">
        <v>1139</v>
      </c>
      <c r="H316" s="117">
        <v>2.494556311E9</v>
      </c>
      <c r="I316" s="117" t="s">
        <v>92</v>
      </c>
      <c r="J316" s="117" t="s">
        <v>70</v>
      </c>
      <c r="K316" s="117" t="s">
        <v>86</v>
      </c>
      <c r="L316" s="117">
        <v>62.0</v>
      </c>
      <c r="M316" s="117">
        <v>1.56</v>
      </c>
      <c r="N316" s="117" t="s">
        <v>73</v>
      </c>
      <c r="O316" s="117"/>
      <c r="P316" s="117" t="s">
        <v>1140</v>
      </c>
      <c r="Q316" s="117"/>
      <c r="R316" s="117" t="s">
        <v>75</v>
      </c>
      <c r="S316" s="117" t="s">
        <v>73</v>
      </c>
      <c r="T316" s="117" t="s">
        <v>73</v>
      </c>
      <c r="U316" s="117" t="s">
        <v>73</v>
      </c>
      <c r="V316" s="117"/>
      <c r="W316" s="117"/>
      <c r="X316" s="117"/>
      <c r="Y316" s="117" t="s">
        <v>73</v>
      </c>
      <c r="Z316" s="117"/>
      <c r="AA316" s="117" t="s">
        <v>73</v>
      </c>
      <c r="AB316" s="118"/>
      <c r="AC316" s="117" t="s">
        <v>95</v>
      </c>
      <c r="AD316" s="117" t="s">
        <v>78</v>
      </c>
      <c r="AE316" s="117" t="s">
        <v>131</v>
      </c>
      <c r="AF316" s="6" t="s">
        <v>80</v>
      </c>
      <c r="AG316" s="117" t="s">
        <v>81</v>
      </c>
      <c r="AH316" s="117" t="s">
        <v>102</v>
      </c>
      <c r="AI316" s="117" t="s">
        <v>956</v>
      </c>
      <c r="AJ316" s="117"/>
      <c r="AK316" s="117" t="s">
        <v>931</v>
      </c>
      <c r="AL316" s="117"/>
      <c r="AM316" s="117"/>
      <c r="BF316" s="14">
        <v>45657.0</v>
      </c>
      <c r="BG316" s="7" t="s">
        <v>73</v>
      </c>
      <c r="BI316" s="15">
        <f t="shared" si="4"/>
        <v>30</v>
      </c>
      <c r="BJ316" s="15" t="str">
        <f t="shared" si="3"/>
        <v>18-35</v>
      </c>
      <c r="BL316" s="85"/>
      <c r="BM316" s="85"/>
      <c r="BN316" s="117" t="s">
        <v>80</v>
      </c>
    </row>
    <row r="317" ht="15.75" customHeight="1">
      <c r="A317" s="1">
        <v>341.0</v>
      </c>
      <c r="B317" s="2">
        <v>341.0</v>
      </c>
      <c r="C317" s="86">
        <v>45497.9279020949</v>
      </c>
      <c r="D317" s="10" t="s">
        <v>1141</v>
      </c>
      <c r="E317" s="87">
        <v>30773.0</v>
      </c>
      <c r="F317" s="13" t="s">
        <v>106</v>
      </c>
      <c r="G317" s="13" t="s">
        <v>1142</v>
      </c>
      <c r="H317" s="13">
        <v>2.49467369E9</v>
      </c>
      <c r="I317" s="13" t="s">
        <v>280</v>
      </c>
      <c r="J317" s="13" t="s">
        <v>70</v>
      </c>
      <c r="K317" s="13" t="s">
        <v>166</v>
      </c>
      <c r="L317" s="13">
        <v>80.0</v>
      </c>
      <c r="M317" s="13">
        <v>179.0</v>
      </c>
      <c r="N317" s="13" t="s">
        <v>73</v>
      </c>
      <c r="O317" s="13"/>
      <c r="P317" s="13" t="s">
        <v>74</v>
      </c>
      <c r="Q317" s="13"/>
      <c r="R317" s="13" t="s">
        <v>73</v>
      </c>
      <c r="S317" s="13" t="s">
        <v>73</v>
      </c>
      <c r="T317" s="13" t="s">
        <v>73</v>
      </c>
      <c r="U317" s="13" t="s">
        <v>73</v>
      </c>
      <c r="V317" s="13"/>
      <c r="W317" s="13"/>
      <c r="X317" s="13"/>
      <c r="Y317" s="13" t="s">
        <v>73</v>
      </c>
      <c r="Z317" s="13"/>
      <c r="AA317" s="13" t="s">
        <v>73</v>
      </c>
      <c r="AB317" s="96"/>
      <c r="AC317" s="13" t="s">
        <v>77</v>
      </c>
      <c r="AD317" s="13" t="s">
        <v>94</v>
      </c>
      <c r="AE317" s="13" t="s">
        <v>205</v>
      </c>
      <c r="AF317" s="6" t="s">
        <v>151</v>
      </c>
      <c r="AG317" s="13" t="s">
        <v>81</v>
      </c>
      <c r="AH317" s="13" t="s">
        <v>82</v>
      </c>
      <c r="AI317" s="13"/>
      <c r="AJ317" s="13"/>
      <c r="AK317" s="13"/>
      <c r="AL317" s="13"/>
      <c r="AM317" s="13" t="s">
        <v>1097</v>
      </c>
      <c r="BF317" s="91">
        <v>45503.0</v>
      </c>
      <c r="BG317" s="7" t="s">
        <v>75</v>
      </c>
      <c r="BH317" s="85" t="s">
        <v>1079</v>
      </c>
      <c r="BI317" s="15">
        <f t="shared" si="4"/>
        <v>40</v>
      </c>
      <c r="BJ317" s="15" t="str">
        <f t="shared" si="3"/>
        <v>35-55</v>
      </c>
      <c r="BL317" s="85"/>
      <c r="BM317" s="85"/>
      <c r="BN317" s="13" t="s">
        <v>151</v>
      </c>
    </row>
    <row r="318" ht="15.75" customHeight="1">
      <c r="A318" s="1">
        <v>342.0</v>
      </c>
      <c r="B318" s="2">
        <v>342.0</v>
      </c>
      <c r="C318" s="86">
        <v>45497.929422546295</v>
      </c>
      <c r="D318" s="10" t="s">
        <v>1143</v>
      </c>
      <c r="E318" s="87">
        <v>31870.0</v>
      </c>
      <c r="F318" s="13" t="s">
        <v>67</v>
      </c>
      <c r="G318" s="13" t="s">
        <v>1144</v>
      </c>
      <c r="H318" s="88" t="s">
        <v>1145</v>
      </c>
      <c r="I318" s="13" t="s">
        <v>449</v>
      </c>
      <c r="J318" s="13" t="s">
        <v>85</v>
      </c>
      <c r="K318" s="13" t="s">
        <v>86</v>
      </c>
      <c r="L318" s="13">
        <v>50.0</v>
      </c>
      <c r="M318" s="13">
        <v>160.0</v>
      </c>
      <c r="N318" s="13" t="s">
        <v>73</v>
      </c>
      <c r="O318" s="13"/>
      <c r="P318" s="13" t="s">
        <v>74</v>
      </c>
      <c r="Q318" s="13"/>
      <c r="R318" s="13" t="s">
        <v>73</v>
      </c>
      <c r="S318" s="13" t="s">
        <v>73</v>
      </c>
      <c r="T318" s="13" t="s">
        <v>73</v>
      </c>
      <c r="U318" s="13" t="s">
        <v>73</v>
      </c>
      <c r="V318" s="13"/>
      <c r="W318" s="13"/>
      <c r="X318" s="13"/>
      <c r="Y318" s="13" t="s">
        <v>73</v>
      </c>
      <c r="Z318" s="13"/>
      <c r="AA318" s="13" t="s">
        <v>75</v>
      </c>
      <c r="AB318" s="89" t="s">
        <v>76</v>
      </c>
      <c r="AC318" s="13" t="s">
        <v>77</v>
      </c>
      <c r="AD318" s="13" t="s">
        <v>94</v>
      </c>
      <c r="AE318" s="13" t="s">
        <v>131</v>
      </c>
      <c r="AF318" s="6" t="s">
        <v>80</v>
      </c>
      <c r="AG318" s="13" t="s">
        <v>95</v>
      </c>
      <c r="AH318" s="13" t="s">
        <v>102</v>
      </c>
      <c r="AI318" s="13" t="s">
        <v>948</v>
      </c>
      <c r="AJ318" s="13"/>
      <c r="AK318" s="13"/>
      <c r="AL318" s="13"/>
      <c r="AM318" s="13" t="s">
        <v>1097</v>
      </c>
      <c r="BF318" s="14">
        <v>45657.0</v>
      </c>
      <c r="BG318" s="7" t="s">
        <v>75</v>
      </c>
      <c r="BH318" s="85" t="s">
        <v>1079</v>
      </c>
      <c r="BI318" s="15">
        <f t="shared" si="4"/>
        <v>37</v>
      </c>
      <c r="BJ318" s="15" t="str">
        <f t="shared" si="3"/>
        <v>35-55</v>
      </c>
      <c r="BL318" s="85"/>
      <c r="BM318" s="85"/>
      <c r="BN318" s="13" t="s">
        <v>80</v>
      </c>
    </row>
    <row r="319" ht="15.75" customHeight="1">
      <c r="A319" s="1">
        <v>343.0</v>
      </c>
      <c r="B319" s="2">
        <v>343.0</v>
      </c>
      <c r="C319" s="101">
        <v>45497.930023368055</v>
      </c>
      <c r="D319" s="38" t="s">
        <v>1146</v>
      </c>
      <c r="E319" s="102">
        <v>39099.0</v>
      </c>
      <c r="F319" s="43" t="s">
        <v>67</v>
      </c>
      <c r="G319" s="43" t="s">
        <v>1147</v>
      </c>
      <c r="H319" s="43" t="s">
        <v>1148</v>
      </c>
      <c r="I319" s="43" t="s">
        <v>449</v>
      </c>
      <c r="J319" s="43" t="s">
        <v>85</v>
      </c>
      <c r="K319" s="43" t="s">
        <v>134</v>
      </c>
      <c r="L319" s="43">
        <v>48.0</v>
      </c>
      <c r="M319" s="43">
        <v>1.7</v>
      </c>
      <c r="N319" s="43" t="s">
        <v>73</v>
      </c>
      <c r="O319" s="43"/>
      <c r="P319" s="43" t="s">
        <v>423</v>
      </c>
      <c r="Q319" s="43"/>
      <c r="R319" s="43" t="s">
        <v>73</v>
      </c>
      <c r="S319" s="43" t="s">
        <v>73</v>
      </c>
      <c r="T319" s="43" t="s">
        <v>73</v>
      </c>
      <c r="U319" s="43" t="s">
        <v>73</v>
      </c>
      <c r="V319" s="43"/>
      <c r="W319" s="43"/>
      <c r="X319" s="43"/>
      <c r="Y319" s="43" t="s">
        <v>73</v>
      </c>
      <c r="Z319" s="43"/>
      <c r="AA319" s="43" t="s">
        <v>73</v>
      </c>
      <c r="AB319" s="103"/>
      <c r="AC319" s="43" t="s">
        <v>77</v>
      </c>
      <c r="AD319" s="43" t="s">
        <v>94</v>
      </c>
      <c r="AE319" s="43" t="s">
        <v>131</v>
      </c>
      <c r="AF319" s="6" t="s">
        <v>187</v>
      </c>
      <c r="AG319" s="43" t="s">
        <v>95</v>
      </c>
      <c r="AH319" s="43" t="s">
        <v>102</v>
      </c>
      <c r="AI319" s="43" t="s">
        <v>911</v>
      </c>
      <c r="AJ319" s="43"/>
      <c r="AK319" s="43"/>
      <c r="AL319" s="43"/>
      <c r="AM319" s="43" t="s">
        <v>1078</v>
      </c>
      <c r="BF319" s="14">
        <v>45657.0</v>
      </c>
      <c r="BG319" s="7" t="s">
        <v>73</v>
      </c>
      <c r="BI319" s="15">
        <f t="shared" si="4"/>
        <v>17</v>
      </c>
      <c r="BJ319" s="15" t="str">
        <f t="shared" si="3"/>
        <v>18-35</v>
      </c>
      <c r="BL319" s="85"/>
      <c r="BM319" s="85"/>
      <c r="BN319" s="43" t="s">
        <v>187</v>
      </c>
    </row>
    <row r="320" ht="15.75" customHeight="1">
      <c r="A320" s="1">
        <v>344.0</v>
      </c>
      <c r="B320" s="2">
        <v>344.0</v>
      </c>
      <c r="C320" s="86">
        <v>45497.9417569213</v>
      </c>
      <c r="D320" s="10" t="s">
        <v>1149</v>
      </c>
      <c r="E320" s="87">
        <v>32284.0</v>
      </c>
      <c r="F320" s="13" t="s">
        <v>67</v>
      </c>
      <c r="G320" s="13" t="s">
        <v>1150</v>
      </c>
      <c r="H320" s="13">
        <v>2.213646278E9</v>
      </c>
      <c r="I320" s="13" t="s">
        <v>92</v>
      </c>
      <c r="J320" s="13" t="s">
        <v>70</v>
      </c>
      <c r="K320" s="13" t="s">
        <v>71</v>
      </c>
      <c r="L320" s="13">
        <v>60.0</v>
      </c>
      <c r="M320" s="13">
        <v>172.0</v>
      </c>
      <c r="N320" s="13" t="s">
        <v>73</v>
      </c>
      <c r="O320" s="13"/>
      <c r="P320" s="13" t="s">
        <v>178</v>
      </c>
      <c r="Q320" s="13"/>
      <c r="R320" s="13" t="s">
        <v>75</v>
      </c>
      <c r="S320" s="13" t="s">
        <v>73</v>
      </c>
      <c r="T320" s="13" t="s">
        <v>73</v>
      </c>
      <c r="U320" s="13" t="s">
        <v>73</v>
      </c>
      <c r="V320" s="13"/>
      <c r="W320" s="13"/>
      <c r="X320" s="13"/>
      <c r="Y320" s="13" t="s">
        <v>73</v>
      </c>
      <c r="Z320" s="13"/>
      <c r="AA320" s="13" t="s">
        <v>73</v>
      </c>
      <c r="AB320" s="96"/>
      <c r="AC320" s="13" t="s">
        <v>77</v>
      </c>
      <c r="AD320" s="13" t="s">
        <v>94</v>
      </c>
      <c r="AE320" s="13" t="s">
        <v>131</v>
      </c>
      <c r="AF320" s="6" t="s">
        <v>187</v>
      </c>
      <c r="AG320" s="13" t="s">
        <v>95</v>
      </c>
      <c r="AH320" s="13" t="s">
        <v>102</v>
      </c>
      <c r="AI320" s="13" t="s">
        <v>934</v>
      </c>
      <c r="AJ320" s="13"/>
      <c r="AK320" s="13"/>
      <c r="AL320" s="13"/>
      <c r="AM320" s="13" t="s">
        <v>1151</v>
      </c>
      <c r="BF320" s="91">
        <v>45504.0</v>
      </c>
      <c r="BG320" s="7" t="s">
        <v>75</v>
      </c>
      <c r="BH320" s="85" t="s">
        <v>1079</v>
      </c>
      <c r="BI320" s="15">
        <f t="shared" si="4"/>
        <v>36</v>
      </c>
      <c r="BJ320" s="15" t="str">
        <f t="shared" si="3"/>
        <v>35-55</v>
      </c>
      <c r="BL320" s="85"/>
      <c r="BM320" s="85"/>
      <c r="BN320" s="13" t="s">
        <v>187</v>
      </c>
    </row>
    <row r="321" ht="15.75" customHeight="1">
      <c r="A321" s="1">
        <v>345.0</v>
      </c>
      <c r="B321" s="2">
        <v>345.0</v>
      </c>
      <c r="C321" s="92">
        <v>45497.942389351854</v>
      </c>
      <c r="D321" s="33" t="s">
        <v>1152</v>
      </c>
      <c r="E321" s="93">
        <v>33224.0</v>
      </c>
      <c r="F321" s="94" t="s">
        <v>67</v>
      </c>
      <c r="G321" s="94" t="s">
        <v>1153</v>
      </c>
      <c r="H321" s="94">
        <v>1.121722725E9</v>
      </c>
      <c r="I321" s="94" t="s">
        <v>449</v>
      </c>
      <c r="J321" s="94" t="s">
        <v>70</v>
      </c>
      <c r="K321" s="94" t="s">
        <v>86</v>
      </c>
      <c r="L321" s="94">
        <v>59.0</v>
      </c>
      <c r="M321" s="94">
        <v>163.0</v>
      </c>
      <c r="N321" s="94" t="s">
        <v>73</v>
      </c>
      <c r="O321" s="94"/>
      <c r="P321" s="94" t="s">
        <v>329</v>
      </c>
      <c r="Q321" s="94"/>
      <c r="R321" s="94" t="s">
        <v>73</v>
      </c>
      <c r="S321" s="94" t="s">
        <v>73</v>
      </c>
      <c r="T321" s="94" t="s">
        <v>73</v>
      </c>
      <c r="U321" s="94" t="s">
        <v>73</v>
      </c>
      <c r="V321" s="94"/>
      <c r="W321" s="94"/>
      <c r="X321" s="94"/>
      <c r="Y321" s="94" t="s">
        <v>73</v>
      </c>
      <c r="Z321" s="94"/>
      <c r="AA321" s="94" t="s">
        <v>75</v>
      </c>
      <c r="AB321" s="95" t="s">
        <v>76</v>
      </c>
      <c r="AC321" s="94" t="s">
        <v>77</v>
      </c>
      <c r="AD321" s="94" t="s">
        <v>78</v>
      </c>
      <c r="AE321" s="94" t="s">
        <v>205</v>
      </c>
      <c r="AF321" s="6" t="s">
        <v>80</v>
      </c>
      <c r="AG321" s="94" t="s">
        <v>77</v>
      </c>
      <c r="AH321" s="94" t="s">
        <v>102</v>
      </c>
      <c r="AI321" s="94" t="s">
        <v>951</v>
      </c>
      <c r="AJ321" s="94"/>
      <c r="AK321" s="94"/>
      <c r="AL321" s="94"/>
      <c r="AM321" s="94" t="s">
        <v>1083</v>
      </c>
      <c r="BF321" s="14">
        <v>45657.0</v>
      </c>
      <c r="BG321" s="7" t="s">
        <v>73</v>
      </c>
      <c r="BI321" s="15">
        <f t="shared" si="4"/>
        <v>34</v>
      </c>
      <c r="BJ321" s="15" t="str">
        <f t="shared" si="3"/>
        <v>18-35</v>
      </c>
      <c r="BL321" s="85"/>
      <c r="BM321" s="85"/>
      <c r="BN321" s="94" t="s">
        <v>80</v>
      </c>
    </row>
    <row r="322" ht="15.75" customHeight="1">
      <c r="A322" s="1">
        <v>346.0</v>
      </c>
      <c r="B322" s="2">
        <v>346.0</v>
      </c>
      <c r="C322" s="92">
        <v>45497.95864915509</v>
      </c>
      <c r="D322" s="33" t="s">
        <v>1154</v>
      </c>
      <c r="E322" s="93">
        <v>34727.0</v>
      </c>
      <c r="F322" s="94" t="s">
        <v>67</v>
      </c>
      <c r="G322" s="94" t="s">
        <v>1155</v>
      </c>
      <c r="H322" s="94">
        <v>2.494557711E9</v>
      </c>
      <c r="I322" s="94" t="s">
        <v>69</v>
      </c>
      <c r="J322" s="94" t="s">
        <v>70</v>
      </c>
      <c r="K322" s="94" t="s">
        <v>71</v>
      </c>
      <c r="L322" s="94">
        <v>95.0</v>
      </c>
      <c r="M322" s="94">
        <v>165.0</v>
      </c>
      <c r="N322" s="94" t="s">
        <v>73</v>
      </c>
      <c r="O322" s="94"/>
      <c r="P322" s="94" t="s">
        <v>329</v>
      </c>
      <c r="Q322" s="94"/>
      <c r="R322" s="94" t="s">
        <v>73</v>
      </c>
      <c r="S322" s="94" t="s">
        <v>73</v>
      </c>
      <c r="T322" s="94" t="s">
        <v>73</v>
      </c>
      <c r="U322" s="94" t="s">
        <v>73</v>
      </c>
      <c r="V322" s="94"/>
      <c r="W322" s="94"/>
      <c r="X322" s="94"/>
      <c r="Y322" s="94" t="s">
        <v>73</v>
      </c>
      <c r="Z322" s="94"/>
      <c r="AA322" s="94" t="s">
        <v>75</v>
      </c>
      <c r="AB322" s="95" t="s">
        <v>76</v>
      </c>
      <c r="AC322" s="94" t="s">
        <v>77</v>
      </c>
      <c r="AD322" s="94" t="s">
        <v>78</v>
      </c>
      <c r="AE322" s="94" t="s">
        <v>131</v>
      </c>
      <c r="AF322" s="6" t="s">
        <v>80</v>
      </c>
      <c r="AG322" s="94" t="s">
        <v>77</v>
      </c>
      <c r="AH322" s="94" t="s">
        <v>77</v>
      </c>
      <c r="AI322" s="94" t="s">
        <v>956</v>
      </c>
      <c r="AJ322" s="94"/>
      <c r="AK322" s="94" t="s">
        <v>918</v>
      </c>
      <c r="AL322" s="94"/>
      <c r="AM322" s="94"/>
      <c r="BF322" s="14">
        <v>45657.0</v>
      </c>
      <c r="BG322" s="7" t="s">
        <v>73</v>
      </c>
      <c r="BI322" s="15">
        <f t="shared" si="4"/>
        <v>29</v>
      </c>
      <c r="BJ322" s="15" t="str">
        <f t="shared" si="3"/>
        <v>18-35</v>
      </c>
      <c r="BL322" s="85"/>
      <c r="BM322" s="85"/>
      <c r="BN322" s="94" t="s">
        <v>80</v>
      </c>
    </row>
    <row r="323" ht="15.75" customHeight="1">
      <c r="A323" s="1">
        <v>347.0</v>
      </c>
      <c r="B323" s="2">
        <v>347.0</v>
      </c>
      <c r="C323" s="86">
        <v>45497.96918130787</v>
      </c>
      <c r="D323" s="10" t="s">
        <v>1156</v>
      </c>
      <c r="E323" s="87">
        <v>34257.0</v>
      </c>
      <c r="F323" s="13" t="s">
        <v>106</v>
      </c>
      <c r="G323" s="13" t="s">
        <v>1157</v>
      </c>
      <c r="H323" s="13">
        <v>2.494503371E9</v>
      </c>
      <c r="I323" s="13" t="s">
        <v>449</v>
      </c>
      <c r="J323" s="13" t="s">
        <v>85</v>
      </c>
      <c r="K323" s="13" t="s">
        <v>71</v>
      </c>
      <c r="L323" s="13">
        <v>64.0</v>
      </c>
      <c r="M323" s="13">
        <v>170.0</v>
      </c>
      <c r="N323" s="13" t="s">
        <v>73</v>
      </c>
      <c r="O323" s="13"/>
      <c r="P323" s="13" t="s">
        <v>74</v>
      </c>
      <c r="Q323" s="13"/>
      <c r="R323" s="13" t="s">
        <v>73</v>
      </c>
      <c r="S323" s="13" t="s">
        <v>73</v>
      </c>
      <c r="T323" s="13" t="s">
        <v>75</v>
      </c>
      <c r="U323" s="13" t="s">
        <v>73</v>
      </c>
      <c r="V323" s="13"/>
      <c r="W323" s="13"/>
      <c r="X323" s="13"/>
      <c r="Y323" s="13" t="s">
        <v>73</v>
      </c>
      <c r="Z323" s="13"/>
      <c r="AA323" s="13" t="s">
        <v>75</v>
      </c>
      <c r="AB323" s="89" t="s">
        <v>76</v>
      </c>
      <c r="AC323" s="13" t="s">
        <v>77</v>
      </c>
      <c r="AD323" s="13" t="s">
        <v>94</v>
      </c>
      <c r="AE323" s="13" t="s">
        <v>138</v>
      </c>
      <c r="AF323" s="6" t="s">
        <v>80</v>
      </c>
      <c r="AG323" s="13" t="s">
        <v>81</v>
      </c>
      <c r="AH323" s="13" t="s">
        <v>82</v>
      </c>
      <c r="AI323" s="13"/>
      <c r="AJ323" s="13"/>
      <c r="AK323" s="13"/>
      <c r="AL323" s="13"/>
      <c r="AM323" s="13" t="s">
        <v>1151</v>
      </c>
      <c r="BF323" s="91">
        <v>45504.0</v>
      </c>
      <c r="BG323" s="7" t="s">
        <v>75</v>
      </c>
      <c r="BH323" s="85" t="s">
        <v>1079</v>
      </c>
      <c r="BI323" s="15">
        <f t="shared" si="4"/>
        <v>31</v>
      </c>
      <c r="BJ323" s="15" t="str">
        <f t="shared" si="3"/>
        <v>18-35</v>
      </c>
      <c r="BL323" s="85"/>
      <c r="BM323" s="85"/>
      <c r="BN323" s="13" t="s">
        <v>80</v>
      </c>
    </row>
    <row r="324" ht="15.75" customHeight="1">
      <c r="A324" s="1">
        <v>348.0</v>
      </c>
      <c r="B324" s="2">
        <v>348.0</v>
      </c>
      <c r="C324" s="115">
        <v>45497.97512527778</v>
      </c>
      <c r="D324" s="18" t="s">
        <v>1158</v>
      </c>
      <c r="E324" s="116">
        <v>36986.0</v>
      </c>
      <c r="F324" s="117" t="s">
        <v>67</v>
      </c>
      <c r="G324" s="117" t="s">
        <v>1159</v>
      </c>
      <c r="H324" s="117">
        <v>2.49436034E9</v>
      </c>
      <c r="I324" s="117" t="s">
        <v>92</v>
      </c>
      <c r="J324" s="117" t="s">
        <v>85</v>
      </c>
      <c r="K324" s="117" t="s">
        <v>71</v>
      </c>
      <c r="L324" s="117">
        <v>60.0</v>
      </c>
      <c r="M324" s="117">
        <v>1.57</v>
      </c>
      <c r="N324" s="117" t="s">
        <v>73</v>
      </c>
      <c r="O324" s="117"/>
      <c r="P324" s="117" t="s">
        <v>74</v>
      </c>
      <c r="Q324" s="117"/>
      <c r="R324" s="117" t="s">
        <v>73</v>
      </c>
      <c r="S324" s="117" t="s">
        <v>73</v>
      </c>
      <c r="T324" s="117" t="s">
        <v>73</v>
      </c>
      <c r="U324" s="117" t="s">
        <v>73</v>
      </c>
      <c r="V324" s="117"/>
      <c r="W324" s="117"/>
      <c r="X324" s="117"/>
      <c r="Y324" s="117" t="s">
        <v>73</v>
      </c>
      <c r="Z324" s="117"/>
      <c r="AA324" s="117" t="s">
        <v>73</v>
      </c>
      <c r="AB324" s="118"/>
      <c r="AC324" s="117" t="s">
        <v>77</v>
      </c>
      <c r="AD324" s="117" t="s">
        <v>94</v>
      </c>
      <c r="AE324" s="117" t="s">
        <v>131</v>
      </c>
      <c r="AF324" s="6" t="s">
        <v>80</v>
      </c>
      <c r="AG324" s="117" t="s">
        <v>95</v>
      </c>
      <c r="AH324" s="117" t="s">
        <v>82</v>
      </c>
      <c r="AI324" s="117"/>
      <c r="AJ324" s="117"/>
      <c r="AK324" s="117"/>
      <c r="AL324" s="117"/>
      <c r="AM324" s="117" t="s">
        <v>1103</v>
      </c>
      <c r="BF324" s="14">
        <v>45657.0</v>
      </c>
      <c r="BG324" s="7" t="s">
        <v>73</v>
      </c>
      <c r="BI324" s="15">
        <f t="shared" si="4"/>
        <v>23</v>
      </c>
      <c r="BJ324" s="15" t="str">
        <f t="shared" si="3"/>
        <v>18-35</v>
      </c>
      <c r="BL324" s="85"/>
      <c r="BM324" s="85"/>
      <c r="BN324" s="117" t="s">
        <v>80</v>
      </c>
    </row>
    <row r="325" ht="15.75" customHeight="1">
      <c r="A325" s="1">
        <v>349.0</v>
      </c>
      <c r="B325" s="2">
        <v>349.0</v>
      </c>
      <c r="C325" s="86">
        <v>45497.98558104166</v>
      </c>
      <c r="D325" s="10" t="s">
        <v>1160</v>
      </c>
      <c r="E325" s="87" t="s">
        <v>1161</v>
      </c>
      <c r="F325" s="13" t="s">
        <v>67</v>
      </c>
      <c r="G325" s="13" t="s">
        <v>1162</v>
      </c>
      <c r="H325" s="13">
        <v>9.2494573843E10</v>
      </c>
      <c r="I325" s="13" t="s">
        <v>69</v>
      </c>
      <c r="J325" s="13" t="s">
        <v>109</v>
      </c>
      <c r="K325" s="13" t="s">
        <v>86</v>
      </c>
      <c r="L325" s="13">
        <v>65.0</v>
      </c>
      <c r="M325" s="13">
        <v>165.0</v>
      </c>
      <c r="N325" s="13" t="s">
        <v>73</v>
      </c>
      <c r="O325" s="13"/>
      <c r="P325" s="13" t="s">
        <v>74</v>
      </c>
      <c r="Q325" s="13"/>
      <c r="R325" s="13" t="s">
        <v>73</v>
      </c>
      <c r="S325" s="13" t="s">
        <v>73</v>
      </c>
      <c r="T325" s="13" t="s">
        <v>73</v>
      </c>
      <c r="U325" s="13" t="s">
        <v>73</v>
      </c>
      <c r="V325" s="13"/>
      <c r="W325" s="13"/>
      <c r="X325" s="13"/>
      <c r="Y325" s="13" t="s">
        <v>73</v>
      </c>
      <c r="Z325" s="13"/>
      <c r="AA325" s="13" t="s">
        <v>75</v>
      </c>
      <c r="AB325" s="89" t="s">
        <v>112</v>
      </c>
      <c r="AC325" s="13" t="s">
        <v>95</v>
      </c>
      <c r="AD325" s="13" t="s">
        <v>506</v>
      </c>
      <c r="AE325" s="13" t="s">
        <v>79</v>
      </c>
      <c r="AF325" s="6" t="s">
        <v>80</v>
      </c>
      <c r="AG325" s="13" t="s">
        <v>81</v>
      </c>
      <c r="AH325" s="13" t="s">
        <v>82</v>
      </c>
      <c r="AI325" s="13"/>
      <c r="AJ325" s="13"/>
      <c r="AK325" s="13" t="s">
        <v>931</v>
      </c>
      <c r="AL325" s="13"/>
      <c r="AM325" s="13" t="s">
        <v>1083</v>
      </c>
      <c r="AN325" s="119"/>
      <c r="AO325" s="119"/>
      <c r="AP325" s="119"/>
      <c r="AQ325" s="119"/>
      <c r="AR325" s="119"/>
      <c r="AS325" s="119"/>
      <c r="AT325" s="119"/>
      <c r="AU325" s="119"/>
      <c r="AV325" s="119"/>
      <c r="AW325" s="119"/>
      <c r="AX325" s="119"/>
      <c r="AY325" s="119"/>
      <c r="AZ325" s="119"/>
      <c r="BA325" s="119"/>
      <c r="BB325" s="119"/>
      <c r="BC325" s="119"/>
      <c r="BD325" s="119"/>
      <c r="BE325" s="119"/>
      <c r="BF325" s="14">
        <v>45657.0</v>
      </c>
      <c r="BG325" s="7" t="s">
        <v>75</v>
      </c>
      <c r="BH325" s="85" t="s">
        <v>1079</v>
      </c>
      <c r="BI325" s="15">
        <v>56.0</v>
      </c>
      <c r="BJ325" s="15" t="str">
        <f t="shared" si="3"/>
        <v>&gt;55</v>
      </c>
      <c r="BL325" s="85"/>
      <c r="BM325" s="85"/>
      <c r="BN325" s="119" t="s">
        <v>80</v>
      </c>
    </row>
    <row r="326" ht="15.75" customHeight="1">
      <c r="A326" s="1">
        <v>350.0</v>
      </c>
      <c r="B326" s="2">
        <v>350.0</v>
      </c>
      <c r="C326" s="86">
        <v>45498.02602456018</v>
      </c>
      <c r="D326" s="10" t="s">
        <v>1163</v>
      </c>
      <c r="E326" s="87">
        <v>24085.0</v>
      </c>
      <c r="F326" s="13" t="s">
        <v>67</v>
      </c>
      <c r="G326" s="13" t="s">
        <v>1164</v>
      </c>
      <c r="H326" s="13">
        <v>2.494306242E9</v>
      </c>
      <c r="I326" s="13" t="s">
        <v>221</v>
      </c>
      <c r="J326" s="13" t="s">
        <v>70</v>
      </c>
      <c r="K326" s="13" t="s">
        <v>71</v>
      </c>
      <c r="L326" s="13">
        <v>64.0</v>
      </c>
      <c r="M326" s="13">
        <v>167.0</v>
      </c>
      <c r="N326" s="13" t="s">
        <v>73</v>
      </c>
      <c r="O326" s="13"/>
      <c r="P326" s="13" t="s">
        <v>74</v>
      </c>
      <c r="Q326" s="13"/>
      <c r="R326" s="13" t="s">
        <v>75</v>
      </c>
      <c r="S326" s="13" t="s">
        <v>73</v>
      </c>
      <c r="T326" s="13" t="s">
        <v>73</v>
      </c>
      <c r="U326" s="13" t="s">
        <v>75</v>
      </c>
      <c r="V326" s="13" t="s">
        <v>1165</v>
      </c>
      <c r="W326" s="13" t="s">
        <v>694</v>
      </c>
      <c r="X326" s="90">
        <v>40179.0</v>
      </c>
      <c r="Y326" s="13" t="s">
        <v>73</v>
      </c>
      <c r="Z326" s="13"/>
      <c r="AA326" s="13" t="s">
        <v>75</v>
      </c>
      <c r="AB326" s="89" t="s">
        <v>76</v>
      </c>
      <c r="AC326" s="13" t="s">
        <v>95</v>
      </c>
      <c r="AD326" s="13" t="s">
        <v>94</v>
      </c>
      <c r="AE326" s="13" t="s">
        <v>79</v>
      </c>
      <c r="AF326" s="6" t="s">
        <v>151</v>
      </c>
      <c r="AG326" s="13" t="s">
        <v>95</v>
      </c>
      <c r="AH326" s="13" t="s">
        <v>77</v>
      </c>
      <c r="AI326" s="13" t="s">
        <v>951</v>
      </c>
      <c r="AJ326" s="13"/>
      <c r="AK326" s="13"/>
      <c r="AL326" s="13"/>
      <c r="AM326" s="13" t="s">
        <v>1103</v>
      </c>
      <c r="BF326" s="91">
        <v>45502.0</v>
      </c>
      <c r="BG326" s="7" t="s">
        <v>75</v>
      </c>
      <c r="BH326" s="85" t="s">
        <v>1079</v>
      </c>
      <c r="BI326" s="15">
        <f t="shared" ref="BI326:BI329" si="5">YEAR(BF326)-YEAR(E326)</f>
        <v>59</v>
      </c>
      <c r="BJ326" s="15" t="str">
        <f t="shared" si="3"/>
        <v>&gt;55</v>
      </c>
      <c r="BL326" s="85"/>
      <c r="BM326" s="85"/>
      <c r="BN326" s="13" t="s">
        <v>151</v>
      </c>
    </row>
    <row r="327" ht="15.75" customHeight="1">
      <c r="A327" s="1">
        <v>351.0</v>
      </c>
      <c r="B327" s="2">
        <v>351.0</v>
      </c>
      <c r="C327" s="86">
        <v>45498.03145109954</v>
      </c>
      <c r="D327" s="10" t="s">
        <v>1166</v>
      </c>
      <c r="E327" s="87">
        <v>34830.0</v>
      </c>
      <c r="F327" s="13" t="s">
        <v>106</v>
      </c>
      <c r="G327" s="13" t="s">
        <v>1167</v>
      </c>
      <c r="H327" s="13" t="s">
        <v>1168</v>
      </c>
      <c r="I327" s="13" t="s">
        <v>92</v>
      </c>
      <c r="J327" s="13" t="s">
        <v>109</v>
      </c>
      <c r="K327" s="13" t="s">
        <v>86</v>
      </c>
      <c r="L327" s="13">
        <v>81.0</v>
      </c>
      <c r="M327" s="13">
        <v>182.0</v>
      </c>
      <c r="N327" s="13" t="s">
        <v>73</v>
      </c>
      <c r="O327" s="13"/>
      <c r="P327" s="13" t="s">
        <v>74</v>
      </c>
      <c r="Q327" s="13"/>
      <c r="R327" s="13" t="s">
        <v>75</v>
      </c>
      <c r="S327" s="13" t="s">
        <v>73</v>
      </c>
      <c r="T327" s="13" t="s">
        <v>73</v>
      </c>
      <c r="U327" s="13" t="s">
        <v>73</v>
      </c>
      <c r="V327" s="13"/>
      <c r="W327" s="13"/>
      <c r="X327" s="13"/>
      <c r="Y327" s="13" t="s">
        <v>73</v>
      </c>
      <c r="Z327" s="13"/>
      <c r="AA327" s="13" t="s">
        <v>73</v>
      </c>
      <c r="AB327" s="96"/>
      <c r="AC327" s="13" t="s">
        <v>95</v>
      </c>
      <c r="AD327" s="13" t="s">
        <v>94</v>
      </c>
      <c r="AE327" s="13" t="s">
        <v>131</v>
      </c>
      <c r="AF327" s="6" t="s">
        <v>80</v>
      </c>
      <c r="AG327" s="13" t="s">
        <v>95</v>
      </c>
      <c r="AH327" s="13" t="s">
        <v>82</v>
      </c>
      <c r="AI327" s="13"/>
      <c r="AJ327" s="13"/>
      <c r="AK327" s="13"/>
      <c r="AL327" s="13"/>
      <c r="AM327" s="13" t="s">
        <v>1087</v>
      </c>
      <c r="BF327" s="91">
        <v>45504.0</v>
      </c>
      <c r="BG327" s="7" t="s">
        <v>75</v>
      </c>
      <c r="BH327" s="85" t="s">
        <v>1079</v>
      </c>
      <c r="BI327" s="15">
        <f t="shared" si="5"/>
        <v>29</v>
      </c>
      <c r="BJ327" s="15" t="str">
        <f t="shared" si="3"/>
        <v>18-35</v>
      </c>
      <c r="BL327" s="85"/>
      <c r="BM327" s="85"/>
      <c r="BN327" s="13" t="s">
        <v>80</v>
      </c>
    </row>
    <row r="328" ht="15.75" customHeight="1">
      <c r="A328" s="1">
        <v>352.0</v>
      </c>
      <c r="B328" s="2">
        <v>352.0</v>
      </c>
      <c r="C328" s="92">
        <v>45498.19725991898</v>
      </c>
      <c r="D328" s="33" t="s">
        <v>1120</v>
      </c>
      <c r="E328" s="93">
        <v>36614.0</v>
      </c>
      <c r="F328" s="94" t="s">
        <v>67</v>
      </c>
      <c r="G328" s="94" t="s">
        <v>1121</v>
      </c>
      <c r="H328" s="94">
        <v>2.494309482E9</v>
      </c>
      <c r="I328" s="94" t="s">
        <v>92</v>
      </c>
      <c r="J328" s="94" t="s">
        <v>109</v>
      </c>
      <c r="K328" s="94" t="s">
        <v>166</v>
      </c>
      <c r="L328" s="94">
        <v>70.0</v>
      </c>
      <c r="M328" s="94">
        <v>1.2</v>
      </c>
      <c r="N328" s="94" t="s">
        <v>73</v>
      </c>
      <c r="O328" s="94"/>
      <c r="P328" s="94" t="s">
        <v>329</v>
      </c>
      <c r="Q328" s="94"/>
      <c r="R328" s="94" t="s">
        <v>73</v>
      </c>
      <c r="S328" s="94" t="s">
        <v>73</v>
      </c>
      <c r="T328" s="94" t="s">
        <v>73</v>
      </c>
      <c r="U328" s="94" t="s">
        <v>73</v>
      </c>
      <c r="V328" s="94"/>
      <c r="W328" s="94"/>
      <c r="X328" s="94"/>
      <c r="Y328" s="94" t="s">
        <v>73</v>
      </c>
      <c r="Z328" s="94"/>
      <c r="AA328" s="94" t="s">
        <v>75</v>
      </c>
      <c r="AB328" s="95" t="s">
        <v>112</v>
      </c>
      <c r="AC328" s="94" t="s">
        <v>77</v>
      </c>
      <c r="AD328" s="94" t="s">
        <v>78</v>
      </c>
      <c r="AE328" s="94" t="s">
        <v>131</v>
      </c>
      <c r="AF328" s="6" t="s">
        <v>151</v>
      </c>
      <c r="AG328" s="94" t="s">
        <v>95</v>
      </c>
      <c r="AH328" s="94" t="s">
        <v>77</v>
      </c>
      <c r="AI328" s="94" t="s">
        <v>989</v>
      </c>
      <c r="AJ328" s="94"/>
      <c r="AK328" s="94"/>
      <c r="AL328" s="94"/>
      <c r="AM328" s="94" t="s">
        <v>1083</v>
      </c>
      <c r="BF328" s="14">
        <v>45657.0</v>
      </c>
      <c r="BG328" s="7" t="s">
        <v>73</v>
      </c>
      <c r="BI328" s="15">
        <f t="shared" si="5"/>
        <v>24</v>
      </c>
      <c r="BJ328" s="15" t="str">
        <f t="shared" si="3"/>
        <v>18-35</v>
      </c>
      <c r="BL328" s="85"/>
      <c r="BM328" s="85"/>
      <c r="BN328" s="94" t="s">
        <v>151</v>
      </c>
    </row>
    <row r="329" ht="15.75" customHeight="1">
      <c r="A329" s="1">
        <v>353.0</v>
      </c>
      <c r="B329" s="2">
        <v>353.0</v>
      </c>
      <c r="C329" s="86">
        <v>45498.334401527776</v>
      </c>
      <c r="D329" s="10" t="s">
        <v>1169</v>
      </c>
      <c r="E329" s="87">
        <v>35136.0</v>
      </c>
      <c r="F329" s="13" t="s">
        <v>67</v>
      </c>
      <c r="G329" s="13" t="s">
        <v>1170</v>
      </c>
      <c r="H329" s="13">
        <v>2.494672227E9</v>
      </c>
      <c r="I329" s="13" t="s">
        <v>92</v>
      </c>
      <c r="J329" s="13" t="s">
        <v>85</v>
      </c>
      <c r="K329" s="13" t="s">
        <v>166</v>
      </c>
      <c r="L329" s="13">
        <v>48.0</v>
      </c>
      <c r="M329" s="13">
        <v>1.6</v>
      </c>
      <c r="N329" s="13" t="s">
        <v>73</v>
      </c>
      <c r="O329" s="13"/>
      <c r="P329" s="13" t="s">
        <v>74</v>
      </c>
      <c r="Q329" s="13"/>
      <c r="R329" s="13" t="s">
        <v>73</v>
      </c>
      <c r="S329" s="13" t="s">
        <v>73</v>
      </c>
      <c r="T329" s="13" t="s">
        <v>73</v>
      </c>
      <c r="U329" s="13" t="s">
        <v>75</v>
      </c>
      <c r="V329" s="13" t="s">
        <v>228</v>
      </c>
      <c r="W329" s="13" t="s">
        <v>694</v>
      </c>
      <c r="X329" s="90">
        <v>44105.0</v>
      </c>
      <c r="Y329" s="13" t="s">
        <v>73</v>
      </c>
      <c r="Z329" s="13"/>
      <c r="AA329" s="13" t="s">
        <v>75</v>
      </c>
      <c r="AB329" s="89" t="s">
        <v>76</v>
      </c>
      <c r="AC329" s="13" t="s">
        <v>82</v>
      </c>
      <c r="AD329" s="13" t="s">
        <v>94</v>
      </c>
      <c r="AE329" s="13" t="s">
        <v>131</v>
      </c>
      <c r="AF329" s="6" t="s">
        <v>187</v>
      </c>
      <c r="AG329" s="13" t="s">
        <v>81</v>
      </c>
      <c r="AH329" s="13" t="s">
        <v>82</v>
      </c>
      <c r="AI329" s="13"/>
      <c r="AJ329" s="13"/>
      <c r="AK329" s="13"/>
      <c r="AL329" s="13"/>
      <c r="AM329" s="13" t="s">
        <v>1078</v>
      </c>
      <c r="BF329" s="91">
        <v>45502.0</v>
      </c>
      <c r="BG329" s="7" t="s">
        <v>75</v>
      </c>
      <c r="BH329" s="85" t="s">
        <v>1079</v>
      </c>
      <c r="BI329" s="15">
        <f t="shared" si="5"/>
        <v>28</v>
      </c>
      <c r="BJ329" s="15" t="str">
        <f t="shared" si="3"/>
        <v>18-35</v>
      </c>
      <c r="BL329" s="85"/>
      <c r="BM329" s="85"/>
      <c r="BN329" s="13" t="s">
        <v>187</v>
      </c>
    </row>
    <row r="330" ht="15.75" customHeight="1">
      <c r="A330" s="1">
        <v>354.0</v>
      </c>
      <c r="B330" s="2">
        <v>354.0</v>
      </c>
      <c r="C330" s="86">
        <v>45498.39470358797</v>
      </c>
      <c r="D330" s="10" t="s">
        <v>1171</v>
      </c>
      <c r="E330" s="87" t="s">
        <v>1172</v>
      </c>
      <c r="F330" s="13" t="s">
        <v>67</v>
      </c>
      <c r="G330" s="13" t="s">
        <v>1173</v>
      </c>
      <c r="H330" s="13">
        <v>2.494496774E9</v>
      </c>
      <c r="I330" s="13" t="s">
        <v>69</v>
      </c>
      <c r="J330" s="13" t="s">
        <v>70</v>
      </c>
      <c r="K330" s="13" t="s">
        <v>71</v>
      </c>
      <c r="L330" s="13">
        <v>64.0</v>
      </c>
      <c r="M330" s="13">
        <v>165.0</v>
      </c>
      <c r="N330" s="13" t="s">
        <v>75</v>
      </c>
      <c r="O330" s="13" t="s">
        <v>1174</v>
      </c>
      <c r="P330" s="13" t="s">
        <v>74</v>
      </c>
      <c r="Q330" s="13"/>
      <c r="R330" s="13" t="s">
        <v>73</v>
      </c>
      <c r="S330" s="13" t="s">
        <v>73</v>
      </c>
      <c r="T330" s="13" t="s">
        <v>73</v>
      </c>
      <c r="U330" s="13" t="s">
        <v>75</v>
      </c>
      <c r="V330" s="13" t="s">
        <v>1175</v>
      </c>
      <c r="W330" s="13" t="s">
        <v>694</v>
      </c>
      <c r="X330" s="90" t="s">
        <v>1176</v>
      </c>
      <c r="Y330" s="13" t="s">
        <v>75</v>
      </c>
      <c r="Z330" s="88" t="s">
        <v>929</v>
      </c>
      <c r="AA330" s="13" t="s">
        <v>75</v>
      </c>
      <c r="AB330" s="89" t="s">
        <v>76</v>
      </c>
      <c r="AC330" s="13" t="s">
        <v>95</v>
      </c>
      <c r="AD330" s="13" t="s">
        <v>78</v>
      </c>
      <c r="AE330" s="13" t="s">
        <v>138</v>
      </c>
      <c r="AF330" s="6" t="s">
        <v>80</v>
      </c>
      <c r="AG330" s="13" t="s">
        <v>81</v>
      </c>
      <c r="AH330" s="13" t="s">
        <v>82</v>
      </c>
      <c r="AI330" s="13"/>
      <c r="AJ330" s="13"/>
      <c r="AK330" s="13"/>
      <c r="AL330" s="13"/>
      <c r="AM330" s="13" t="s">
        <v>1128</v>
      </c>
      <c r="BF330" s="120">
        <v>45503.0</v>
      </c>
      <c r="BG330" s="49" t="s">
        <v>75</v>
      </c>
      <c r="BH330" s="112" t="s">
        <v>1079</v>
      </c>
      <c r="BI330" s="113">
        <v>56.0</v>
      </c>
      <c r="BJ330" s="113" t="str">
        <f t="shared" si="3"/>
        <v>&gt;55</v>
      </c>
      <c r="BL330" s="85"/>
      <c r="BM330" s="85"/>
      <c r="BN330" s="13" t="s">
        <v>80</v>
      </c>
    </row>
    <row r="331" ht="15.75" customHeight="1">
      <c r="A331" s="1">
        <v>355.0</v>
      </c>
      <c r="B331" s="2">
        <v>355.0</v>
      </c>
      <c r="C331" s="92">
        <v>45498.41107053241</v>
      </c>
      <c r="D331" s="33" t="s">
        <v>1177</v>
      </c>
      <c r="E331" s="93">
        <v>23013.0</v>
      </c>
      <c r="F331" s="94" t="s">
        <v>67</v>
      </c>
      <c r="G331" s="94" t="s">
        <v>1178</v>
      </c>
      <c r="H331" s="94">
        <v>2.494333685E9</v>
      </c>
      <c r="I331" s="94" t="s">
        <v>69</v>
      </c>
      <c r="J331" s="94" t="s">
        <v>146</v>
      </c>
      <c r="K331" s="94" t="s">
        <v>86</v>
      </c>
      <c r="L331" s="94">
        <v>74.0</v>
      </c>
      <c r="M331" s="94">
        <v>1.62</v>
      </c>
      <c r="N331" s="94" t="s">
        <v>75</v>
      </c>
      <c r="O331" s="94" t="s">
        <v>1179</v>
      </c>
      <c r="P331" s="94" t="s">
        <v>329</v>
      </c>
      <c r="Q331" s="94"/>
      <c r="R331" s="94" t="s">
        <v>75</v>
      </c>
      <c r="S331" s="94" t="s">
        <v>73</v>
      </c>
      <c r="T331" s="94" t="s">
        <v>73</v>
      </c>
      <c r="U331" s="94" t="s">
        <v>75</v>
      </c>
      <c r="V331" s="94" t="s">
        <v>1180</v>
      </c>
      <c r="W331" s="94" t="s">
        <v>694</v>
      </c>
      <c r="X331" s="110">
        <v>45498.0</v>
      </c>
      <c r="Y331" s="94" t="s">
        <v>73</v>
      </c>
      <c r="Z331" s="94"/>
      <c r="AA331" s="94" t="s">
        <v>73</v>
      </c>
      <c r="AB331" s="121"/>
      <c r="AC331" s="94" t="s">
        <v>95</v>
      </c>
      <c r="AD331" s="94" t="s">
        <v>94</v>
      </c>
      <c r="AE331" s="94" t="s">
        <v>79</v>
      </c>
      <c r="AF331" s="6" t="s">
        <v>80</v>
      </c>
      <c r="AG331" s="94" t="s">
        <v>95</v>
      </c>
      <c r="AH331" s="94" t="s">
        <v>77</v>
      </c>
      <c r="AI331" s="94" t="s">
        <v>956</v>
      </c>
      <c r="AJ331" s="94"/>
      <c r="AK331" s="94"/>
      <c r="AL331" s="94"/>
      <c r="AM331" s="94" t="s">
        <v>1078</v>
      </c>
      <c r="BF331" s="14">
        <v>45657.0</v>
      </c>
      <c r="BG331" s="7" t="s">
        <v>73</v>
      </c>
      <c r="BI331" s="15">
        <f>YEAR(BF331)-YEAR(E331)</f>
        <v>61</v>
      </c>
      <c r="BJ331" s="15" t="str">
        <f t="shared" si="3"/>
        <v>&gt;55</v>
      </c>
      <c r="BL331" s="85"/>
      <c r="BM331" s="85"/>
      <c r="BN331" s="94" t="s">
        <v>80</v>
      </c>
    </row>
    <row r="332" ht="15.75" customHeight="1">
      <c r="A332" s="1">
        <v>356.0</v>
      </c>
      <c r="B332" s="2">
        <v>356.0</v>
      </c>
      <c r="C332" s="86">
        <v>45498.42295865741</v>
      </c>
      <c r="D332" s="10" t="s">
        <v>1181</v>
      </c>
      <c r="E332" s="87" t="s">
        <v>1182</v>
      </c>
      <c r="F332" s="13" t="s">
        <v>67</v>
      </c>
      <c r="G332" s="13" t="s">
        <v>1183</v>
      </c>
      <c r="H332" s="13">
        <v>2.49457636E9</v>
      </c>
      <c r="I332" s="13" t="s">
        <v>92</v>
      </c>
      <c r="J332" s="13" t="s">
        <v>85</v>
      </c>
      <c r="K332" s="13" t="s">
        <v>86</v>
      </c>
      <c r="L332" s="13">
        <v>59.0</v>
      </c>
      <c r="M332" s="13">
        <v>1.69</v>
      </c>
      <c r="N332" s="13" t="s">
        <v>73</v>
      </c>
      <c r="O332" s="13" t="s">
        <v>369</v>
      </c>
      <c r="P332" s="13" t="s">
        <v>74</v>
      </c>
      <c r="Q332" s="13"/>
      <c r="R332" s="13" t="s">
        <v>73</v>
      </c>
      <c r="S332" s="13" t="s">
        <v>73</v>
      </c>
      <c r="T332" s="13" t="s">
        <v>73</v>
      </c>
      <c r="U332" s="13" t="s">
        <v>73</v>
      </c>
      <c r="V332" s="13"/>
      <c r="W332" s="13"/>
      <c r="X332" s="13"/>
      <c r="Y332" s="13" t="s">
        <v>73</v>
      </c>
      <c r="Z332" s="13"/>
      <c r="AA332" s="13" t="s">
        <v>73</v>
      </c>
      <c r="AB332" s="96"/>
      <c r="AC332" s="13" t="s">
        <v>95</v>
      </c>
      <c r="AD332" s="13" t="s">
        <v>78</v>
      </c>
      <c r="AE332" s="13" t="s">
        <v>113</v>
      </c>
      <c r="AF332" s="6" t="s">
        <v>151</v>
      </c>
      <c r="AG332" s="13" t="s">
        <v>81</v>
      </c>
      <c r="AH332" s="13" t="s">
        <v>102</v>
      </c>
      <c r="AI332" s="13" t="s">
        <v>994</v>
      </c>
      <c r="AJ332" s="13"/>
      <c r="AK332" s="13" t="s">
        <v>923</v>
      </c>
      <c r="AL332" s="13"/>
      <c r="AM332" s="13" t="s">
        <v>1128</v>
      </c>
      <c r="BF332" s="120">
        <v>45503.0</v>
      </c>
      <c r="BG332" s="49" t="s">
        <v>75</v>
      </c>
      <c r="BH332" s="112" t="s">
        <v>1079</v>
      </c>
      <c r="BI332" s="113">
        <v>56.0</v>
      </c>
      <c r="BJ332" s="113" t="str">
        <f t="shared" si="3"/>
        <v>&gt;55</v>
      </c>
      <c r="BL332" s="85"/>
      <c r="BM332" s="85"/>
      <c r="BN332" s="13" t="s">
        <v>151</v>
      </c>
    </row>
    <row r="333" ht="15.75" customHeight="1">
      <c r="A333" s="1">
        <v>357.0</v>
      </c>
      <c r="B333" s="2">
        <v>357.0</v>
      </c>
      <c r="C333" s="115">
        <v>45498.47656070602</v>
      </c>
      <c r="D333" s="18" t="s">
        <v>1184</v>
      </c>
      <c r="E333" s="116">
        <v>33704.0</v>
      </c>
      <c r="F333" s="117" t="s">
        <v>67</v>
      </c>
      <c r="G333" s="117" t="s">
        <v>1185</v>
      </c>
      <c r="H333" s="117">
        <v>1.168730037E9</v>
      </c>
      <c r="I333" s="117" t="s">
        <v>92</v>
      </c>
      <c r="J333" s="117" t="s">
        <v>70</v>
      </c>
      <c r="K333" s="117" t="s">
        <v>71</v>
      </c>
      <c r="L333" s="117">
        <v>60.0</v>
      </c>
      <c r="M333" s="117">
        <v>173.0</v>
      </c>
      <c r="N333" s="117" t="s">
        <v>73</v>
      </c>
      <c r="O333" s="117"/>
      <c r="P333" s="117" t="s">
        <v>1186</v>
      </c>
      <c r="Q333" s="117"/>
      <c r="R333" s="117" t="s">
        <v>73</v>
      </c>
      <c r="S333" s="117" t="s">
        <v>73</v>
      </c>
      <c r="T333" s="117" t="s">
        <v>73</v>
      </c>
      <c r="U333" s="117" t="s">
        <v>73</v>
      </c>
      <c r="V333" s="117"/>
      <c r="W333" s="117"/>
      <c r="X333" s="117"/>
      <c r="Y333" s="117" t="s">
        <v>73</v>
      </c>
      <c r="Z333" s="117"/>
      <c r="AA333" s="117" t="s">
        <v>73</v>
      </c>
      <c r="AB333" s="118"/>
      <c r="AC333" s="117" t="s">
        <v>77</v>
      </c>
      <c r="AD333" s="117" t="s">
        <v>94</v>
      </c>
      <c r="AE333" s="117" t="s">
        <v>131</v>
      </c>
      <c r="AF333" s="6" t="s">
        <v>80</v>
      </c>
      <c r="AG333" s="117" t="s">
        <v>77</v>
      </c>
      <c r="AH333" s="117" t="s">
        <v>102</v>
      </c>
      <c r="AI333" s="117" t="s">
        <v>994</v>
      </c>
      <c r="AJ333" s="117"/>
      <c r="AK333" s="117"/>
      <c r="AL333" s="117"/>
      <c r="AM333" s="117" t="s">
        <v>1128</v>
      </c>
      <c r="BF333" s="14">
        <v>45657.0</v>
      </c>
      <c r="BG333" s="7" t="s">
        <v>73</v>
      </c>
      <c r="BI333" s="15">
        <f t="shared" ref="BI333:BI396" si="6">YEAR(BF333)-YEAR(E333)</f>
        <v>32</v>
      </c>
      <c r="BJ333" s="15" t="str">
        <f t="shared" si="3"/>
        <v>18-35</v>
      </c>
      <c r="BL333" s="85"/>
      <c r="BM333" s="85"/>
      <c r="BN333" s="117" t="s">
        <v>80</v>
      </c>
    </row>
    <row r="334" ht="15.75" customHeight="1">
      <c r="A334" s="1">
        <v>358.0</v>
      </c>
      <c r="B334" s="2">
        <v>358.0</v>
      </c>
      <c r="C334" s="86">
        <v>45498.54382136574</v>
      </c>
      <c r="D334" s="10" t="s">
        <v>1187</v>
      </c>
      <c r="E334" s="87">
        <v>18415.0</v>
      </c>
      <c r="F334" s="13" t="s">
        <v>67</v>
      </c>
      <c r="G334" s="13" t="s">
        <v>1188</v>
      </c>
      <c r="H334" s="13">
        <v>2.494627734E9</v>
      </c>
      <c r="I334" s="13" t="s">
        <v>92</v>
      </c>
      <c r="J334" s="13" t="s">
        <v>70</v>
      </c>
      <c r="K334" s="13" t="s">
        <v>134</v>
      </c>
      <c r="L334" s="13">
        <v>60.0</v>
      </c>
      <c r="M334" s="13">
        <v>155.0</v>
      </c>
      <c r="N334" s="13" t="s">
        <v>73</v>
      </c>
      <c r="O334" s="13"/>
      <c r="P334" s="13" t="s">
        <v>74</v>
      </c>
      <c r="Q334" s="13"/>
      <c r="R334" s="13" t="s">
        <v>73</v>
      </c>
      <c r="S334" s="13" t="s">
        <v>73</v>
      </c>
      <c r="T334" s="13" t="s">
        <v>73</v>
      </c>
      <c r="U334" s="13" t="s">
        <v>73</v>
      </c>
      <c r="V334" s="13"/>
      <c r="W334" s="13"/>
      <c r="X334" s="13"/>
      <c r="Y334" s="13" t="s">
        <v>73</v>
      </c>
      <c r="Z334" s="13"/>
      <c r="AA334" s="13" t="s">
        <v>73</v>
      </c>
      <c r="AB334" s="96"/>
      <c r="AC334" s="13" t="s">
        <v>77</v>
      </c>
      <c r="AD334" s="13" t="s">
        <v>94</v>
      </c>
      <c r="AE334" s="13" t="s">
        <v>138</v>
      </c>
      <c r="AF334" s="6" t="s">
        <v>80</v>
      </c>
      <c r="AG334" s="13" t="s">
        <v>81</v>
      </c>
      <c r="AH334" s="13" t="s">
        <v>82</v>
      </c>
      <c r="AI334" s="13"/>
      <c r="AJ334" s="13"/>
      <c r="AK334" s="13"/>
      <c r="AL334" s="13"/>
      <c r="AM334" s="13" t="s">
        <v>1189</v>
      </c>
      <c r="BF334" s="91">
        <v>45505.0</v>
      </c>
      <c r="BG334" s="7" t="s">
        <v>75</v>
      </c>
      <c r="BH334" s="85" t="s">
        <v>1079</v>
      </c>
      <c r="BI334" s="15">
        <f t="shared" si="6"/>
        <v>74</v>
      </c>
      <c r="BJ334" s="15" t="str">
        <f t="shared" si="3"/>
        <v>&gt;55</v>
      </c>
      <c r="BL334" s="85"/>
      <c r="BM334" s="85"/>
      <c r="BN334" s="13" t="s">
        <v>80</v>
      </c>
    </row>
    <row r="335" ht="15.75" customHeight="1">
      <c r="A335" s="1">
        <v>359.0</v>
      </c>
      <c r="B335" s="2">
        <v>359.0</v>
      </c>
      <c r="C335" s="86">
        <v>45498.621215439816</v>
      </c>
      <c r="D335" s="10" t="s">
        <v>1190</v>
      </c>
      <c r="E335" s="87">
        <v>36931.0</v>
      </c>
      <c r="F335" s="13" t="s">
        <v>106</v>
      </c>
      <c r="G335" s="13" t="s">
        <v>1191</v>
      </c>
      <c r="H335" s="13">
        <v>2.494002146E9</v>
      </c>
      <c r="I335" s="13" t="s">
        <v>92</v>
      </c>
      <c r="J335" s="13" t="s">
        <v>85</v>
      </c>
      <c r="K335" s="13" t="s">
        <v>166</v>
      </c>
      <c r="L335" s="13">
        <v>105.0</v>
      </c>
      <c r="M335" s="13">
        <v>187.0</v>
      </c>
      <c r="N335" s="13" t="s">
        <v>73</v>
      </c>
      <c r="O335" s="13"/>
      <c r="P335" s="13" t="s">
        <v>74</v>
      </c>
      <c r="Q335" s="13"/>
      <c r="R335" s="13" t="s">
        <v>73</v>
      </c>
      <c r="S335" s="13" t="s">
        <v>73</v>
      </c>
      <c r="T335" s="13" t="s">
        <v>73</v>
      </c>
      <c r="U335" s="13" t="s">
        <v>73</v>
      </c>
      <c r="V335" s="13"/>
      <c r="W335" s="13"/>
      <c r="X335" s="13"/>
      <c r="Y335" s="13" t="s">
        <v>75</v>
      </c>
      <c r="Z335" s="88" t="s">
        <v>929</v>
      </c>
      <c r="AA335" s="13" t="s">
        <v>75</v>
      </c>
      <c r="AB335" s="89" t="s">
        <v>76</v>
      </c>
      <c r="AC335" s="13" t="s">
        <v>102</v>
      </c>
      <c r="AD335" s="13" t="s">
        <v>78</v>
      </c>
      <c r="AE335" s="13" t="s">
        <v>205</v>
      </c>
      <c r="AF335" s="6" t="s">
        <v>80</v>
      </c>
      <c r="AG335" s="13" t="s">
        <v>81</v>
      </c>
      <c r="AH335" s="13" t="s">
        <v>82</v>
      </c>
      <c r="AI335" s="13"/>
      <c r="AJ335" s="13"/>
      <c r="AK335" s="13"/>
      <c r="AL335" s="13"/>
      <c r="AM335" s="13" t="s">
        <v>1103</v>
      </c>
      <c r="BF335" s="91">
        <v>45502.0</v>
      </c>
      <c r="BG335" s="7" t="s">
        <v>75</v>
      </c>
      <c r="BH335" s="85" t="s">
        <v>1079</v>
      </c>
      <c r="BI335" s="15">
        <f t="shared" si="6"/>
        <v>23</v>
      </c>
      <c r="BJ335" s="15" t="str">
        <f t="shared" si="3"/>
        <v>18-35</v>
      </c>
      <c r="BL335" s="85"/>
      <c r="BM335" s="85"/>
      <c r="BN335" s="13" t="s">
        <v>80</v>
      </c>
    </row>
    <row r="336" ht="15.75" customHeight="1">
      <c r="A336" s="1">
        <v>360.0</v>
      </c>
      <c r="B336" s="2">
        <v>360.0</v>
      </c>
      <c r="C336" s="86">
        <v>45498.65790957176</v>
      </c>
      <c r="D336" s="10" t="s">
        <v>1192</v>
      </c>
      <c r="E336" s="87">
        <v>37830.0</v>
      </c>
      <c r="F336" s="13" t="s">
        <v>106</v>
      </c>
      <c r="G336" s="13" t="s">
        <v>1193</v>
      </c>
      <c r="H336" s="13">
        <v>2.494545519E9</v>
      </c>
      <c r="I336" s="13" t="s">
        <v>92</v>
      </c>
      <c r="J336" s="13" t="s">
        <v>85</v>
      </c>
      <c r="K336" s="13" t="s">
        <v>86</v>
      </c>
      <c r="L336" s="13">
        <v>70.0</v>
      </c>
      <c r="M336" s="13">
        <v>170.0</v>
      </c>
      <c r="N336" s="13" t="s">
        <v>75</v>
      </c>
      <c r="O336" s="13"/>
      <c r="P336" s="13" t="s">
        <v>178</v>
      </c>
      <c r="Q336" s="13"/>
      <c r="R336" s="13" t="s">
        <v>73</v>
      </c>
      <c r="S336" s="13" t="s">
        <v>73</v>
      </c>
      <c r="T336" s="13" t="s">
        <v>73</v>
      </c>
      <c r="U336" s="13" t="s">
        <v>73</v>
      </c>
      <c r="V336" s="13"/>
      <c r="W336" s="13"/>
      <c r="X336" s="13"/>
      <c r="Y336" s="13" t="s">
        <v>75</v>
      </c>
      <c r="Z336" s="13" t="s">
        <v>1194</v>
      </c>
      <c r="AA336" s="13" t="s">
        <v>75</v>
      </c>
      <c r="AB336" s="89" t="s">
        <v>76</v>
      </c>
      <c r="AC336" s="13" t="s">
        <v>77</v>
      </c>
      <c r="AD336" s="13" t="s">
        <v>94</v>
      </c>
      <c r="AE336" s="13" t="s">
        <v>138</v>
      </c>
      <c r="AF336" s="6" t="s">
        <v>187</v>
      </c>
      <c r="AG336" s="13" t="s">
        <v>82</v>
      </c>
      <c r="AH336" s="13" t="s">
        <v>82</v>
      </c>
      <c r="AI336" s="13"/>
      <c r="AJ336" s="13"/>
      <c r="AK336" s="13"/>
      <c r="AL336" s="13"/>
      <c r="AM336" s="13" t="s">
        <v>1083</v>
      </c>
      <c r="BF336" s="91">
        <v>45500.0</v>
      </c>
      <c r="BG336" s="7" t="s">
        <v>75</v>
      </c>
      <c r="BH336" s="85" t="s">
        <v>1079</v>
      </c>
      <c r="BI336" s="15">
        <f t="shared" si="6"/>
        <v>21</v>
      </c>
      <c r="BJ336" s="15" t="str">
        <f t="shared" si="3"/>
        <v>18-35</v>
      </c>
      <c r="BL336" s="85"/>
      <c r="BM336" s="85"/>
      <c r="BN336" s="13" t="s">
        <v>187</v>
      </c>
    </row>
    <row r="337" ht="15.75" customHeight="1">
      <c r="A337" s="1">
        <v>361.0</v>
      </c>
      <c r="B337" s="2">
        <v>361.0</v>
      </c>
      <c r="C337" s="86">
        <v>45499.60350921296</v>
      </c>
      <c r="D337" s="10" t="s">
        <v>1195</v>
      </c>
      <c r="E337" s="87">
        <v>27012.0</v>
      </c>
      <c r="F337" s="13" t="s">
        <v>67</v>
      </c>
      <c r="G337" s="13" t="s">
        <v>1196</v>
      </c>
      <c r="H337" s="13">
        <v>2.494336916E9</v>
      </c>
      <c r="I337" s="13" t="s">
        <v>449</v>
      </c>
      <c r="J337" s="13" t="s">
        <v>85</v>
      </c>
      <c r="K337" s="13" t="s">
        <v>86</v>
      </c>
      <c r="L337" s="13">
        <v>82.0</v>
      </c>
      <c r="M337" s="13">
        <v>1.68</v>
      </c>
      <c r="N337" s="13" t="s">
        <v>75</v>
      </c>
      <c r="O337" s="13" t="s">
        <v>1197</v>
      </c>
      <c r="P337" s="13" t="s">
        <v>74</v>
      </c>
      <c r="Q337" s="13"/>
      <c r="R337" s="13" t="s">
        <v>73</v>
      </c>
      <c r="S337" s="13" t="s">
        <v>73</v>
      </c>
      <c r="T337" s="13" t="s">
        <v>73</v>
      </c>
      <c r="U337" s="13" t="s">
        <v>73</v>
      </c>
      <c r="V337" s="13"/>
      <c r="W337" s="13"/>
      <c r="X337" s="13"/>
      <c r="Y337" s="13" t="s">
        <v>75</v>
      </c>
      <c r="Z337" s="88" t="s">
        <v>929</v>
      </c>
      <c r="AA337" s="13" t="s">
        <v>75</v>
      </c>
      <c r="AB337" s="89" t="s">
        <v>76</v>
      </c>
      <c r="AC337" s="13" t="s">
        <v>77</v>
      </c>
      <c r="AD337" s="13" t="s">
        <v>94</v>
      </c>
      <c r="AE337" s="13" t="s">
        <v>138</v>
      </c>
      <c r="AF337" s="6" t="s">
        <v>80</v>
      </c>
      <c r="AG337" s="13" t="s">
        <v>95</v>
      </c>
      <c r="AH337" s="13" t="s">
        <v>82</v>
      </c>
      <c r="AI337" s="13"/>
      <c r="AJ337" s="13"/>
      <c r="AK337" s="13"/>
      <c r="AL337" s="13"/>
      <c r="AM337" s="13" t="s">
        <v>1078</v>
      </c>
      <c r="BF337" s="91">
        <v>45502.0</v>
      </c>
      <c r="BG337" s="7" t="s">
        <v>75</v>
      </c>
      <c r="BH337" s="85" t="s">
        <v>1079</v>
      </c>
      <c r="BI337" s="15">
        <f t="shared" si="6"/>
        <v>51</v>
      </c>
      <c r="BJ337" s="15" t="str">
        <f t="shared" si="3"/>
        <v>35-55</v>
      </c>
      <c r="BL337" s="85"/>
      <c r="BM337" s="85"/>
      <c r="BN337" s="13" t="s">
        <v>80</v>
      </c>
    </row>
    <row r="338" ht="15.75" customHeight="1">
      <c r="A338" s="1">
        <v>362.0</v>
      </c>
      <c r="B338" s="2">
        <v>362.0</v>
      </c>
      <c r="C338" s="101">
        <v>45499.60579761574</v>
      </c>
      <c r="D338" s="38" t="s">
        <v>1198</v>
      </c>
      <c r="E338" s="102">
        <v>26160.0</v>
      </c>
      <c r="F338" s="43" t="s">
        <v>67</v>
      </c>
      <c r="G338" s="43" t="s">
        <v>1199</v>
      </c>
      <c r="H338" s="43">
        <v>2.94154611653E11</v>
      </c>
      <c r="I338" s="43" t="s">
        <v>92</v>
      </c>
      <c r="J338" s="43" t="s">
        <v>85</v>
      </c>
      <c r="K338" s="43" t="s">
        <v>134</v>
      </c>
      <c r="L338" s="43">
        <v>68.0</v>
      </c>
      <c r="M338" s="43">
        <v>1.67</v>
      </c>
      <c r="N338" s="43" t="s">
        <v>75</v>
      </c>
      <c r="O338" s="43" t="s">
        <v>1200</v>
      </c>
      <c r="P338" s="43" t="s">
        <v>963</v>
      </c>
      <c r="Q338" s="43"/>
      <c r="R338" s="43" t="s">
        <v>73</v>
      </c>
      <c r="S338" s="43" t="s">
        <v>73</v>
      </c>
      <c r="T338" s="43" t="s">
        <v>73</v>
      </c>
      <c r="U338" s="43" t="s">
        <v>73</v>
      </c>
      <c r="V338" s="43"/>
      <c r="W338" s="43"/>
      <c r="X338" s="43"/>
      <c r="Y338" s="43" t="s">
        <v>73</v>
      </c>
      <c r="Z338" s="43"/>
      <c r="AA338" s="43" t="s">
        <v>73</v>
      </c>
      <c r="AB338" s="103"/>
      <c r="AC338" s="43" t="s">
        <v>82</v>
      </c>
      <c r="AD338" s="43" t="s">
        <v>78</v>
      </c>
      <c r="AE338" s="43" t="s">
        <v>79</v>
      </c>
      <c r="AF338" s="6" t="s">
        <v>80</v>
      </c>
      <c r="AG338" s="43" t="s">
        <v>81</v>
      </c>
      <c r="AH338" s="43" t="s">
        <v>102</v>
      </c>
      <c r="AI338" s="43" t="s">
        <v>989</v>
      </c>
      <c r="AJ338" s="43"/>
      <c r="AK338" s="43" t="s">
        <v>931</v>
      </c>
      <c r="AL338" s="43"/>
      <c r="AM338" s="43" t="s">
        <v>1103</v>
      </c>
      <c r="BF338" s="14">
        <v>45657.0</v>
      </c>
      <c r="BG338" s="7" t="s">
        <v>73</v>
      </c>
      <c r="BI338" s="15">
        <f t="shared" si="6"/>
        <v>53</v>
      </c>
      <c r="BJ338" s="15" t="str">
        <f t="shared" si="3"/>
        <v>35-55</v>
      </c>
      <c r="BL338" s="85"/>
      <c r="BM338" s="85"/>
      <c r="BN338" s="43" t="s">
        <v>80</v>
      </c>
    </row>
    <row r="339" ht="15.75" customHeight="1">
      <c r="A339" s="1">
        <v>363.0</v>
      </c>
      <c r="B339" s="2">
        <v>363.0</v>
      </c>
      <c r="C339" s="86">
        <v>45499.60687952546</v>
      </c>
      <c r="D339" s="10" t="s">
        <v>1201</v>
      </c>
      <c r="E339" s="87">
        <v>25626.0</v>
      </c>
      <c r="F339" s="13" t="s">
        <v>67</v>
      </c>
      <c r="G339" s="13" t="s">
        <v>1202</v>
      </c>
      <c r="H339" s="13">
        <v>2.284669901E9</v>
      </c>
      <c r="I339" s="13" t="s">
        <v>92</v>
      </c>
      <c r="J339" s="13" t="s">
        <v>85</v>
      </c>
      <c r="K339" s="13" t="s">
        <v>71</v>
      </c>
      <c r="L339" s="13">
        <v>60.0</v>
      </c>
      <c r="M339" s="13">
        <v>1.67</v>
      </c>
      <c r="N339" s="13" t="s">
        <v>73</v>
      </c>
      <c r="O339" s="13"/>
      <c r="P339" s="13" t="s">
        <v>74</v>
      </c>
      <c r="Q339" s="13"/>
      <c r="R339" s="13" t="s">
        <v>73</v>
      </c>
      <c r="S339" s="13" t="s">
        <v>73</v>
      </c>
      <c r="T339" s="13" t="s">
        <v>73</v>
      </c>
      <c r="U339" s="13" t="s">
        <v>75</v>
      </c>
      <c r="V339" s="13" t="s">
        <v>1203</v>
      </c>
      <c r="W339" s="13" t="s">
        <v>694</v>
      </c>
      <c r="X339" s="90">
        <v>45470.0</v>
      </c>
      <c r="Y339" s="13" t="s">
        <v>73</v>
      </c>
      <c r="Z339" s="13"/>
      <c r="AA339" s="13" t="s">
        <v>73</v>
      </c>
      <c r="AB339" s="96"/>
      <c r="AC339" s="13" t="s">
        <v>77</v>
      </c>
      <c r="AD339" s="13" t="s">
        <v>78</v>
      </c>
      <c r="AE339" s="13" t="s">
        <v>79</v>
      </c>
      <c r="AF339" s="6" t="s">
        <v>151</v>
      </c>
      <c r="AG339" s="13" t="s">
        <v>77</v>
      </c>
      <c r="AH339" s="13" t="s">
        <v>82</v>
      </c>
      <c r="AI339" s="13"/>
      <c r="AJ339" s="13"/>
      <c r="AK339" s="13"/>
      <c r="AL339" s="13"/>
      <c r="AM339" s="13" t="s">
        <v>1128</v>
      </c>
      <c r="BF339" s="91">
        <v>45503.0</v>
      </c>
      <c r="BG339" s="7" t="s">
        <v>75</v>
      </c>
      <c r="BH339" s="85" t="s">
        <v>1079</v>
      </c>
      <c r="BI339" s="15">
        <f t="shared" si="6"/>
        <v>54</v>
      </c>
      <c r="BJ339" s="15" t="str">
        <f t="shared" si="3"/>
        <v>35-55</v>
      </c>
      <c r="BL339" s="85"/>
      <c r="BM339" s="85"/>
      <c r="BN339" s="13" t="s">
        <v>151</v>
      </c>
    </row>
    <row r="340" ht="15.75" customHeight="1">
      <c r="A340" s="1">
        <v>364.0</v>
      </c>
      <c r="B340" s="2">
        <v>364.0</v>
      </c>
      <c r="C340" s="92">
        <v>45499.61218806713</v>
      </c>
      <c r="D340" s="33" t="s">
        <v>1204</v>
      </c>
      <c r="E340" s="93">
        <v>28124.0</v>
      </c>
      <c r="F340" s="94" t="s">
        <v>67</v>
      </c>
      <c r="G340" s="94" t="s">
        <v>1205</v>
      </c>
      <c r="H340" s="94">
        <v>2.494643993E9</v>
      </c>
      <c r="I340" s="94" t="s">
        <v>92</v>
      </c>
      <c r="J340" s="94" t="s">
        <v>85</v>
      </c>
      <c r="K340" s="94" t="s">
        <v>86</v>
      </c>
      <c r="L340" s="94">
        <v>86.0</v>
      </c>
      <c r="M340" s="94">
        <v>163.0</v>
      </c>
      <c r="N340" s="94" t="s">
        <v>75</v>
      </c>
      <c r="O340" s="94" t="s">
        <v>1206</v>
      </c>
      <c r="P340" s="94" t="s">
        <v>329</v>
      </c>
      <c r="Q340" s="94"/>
      <c r="R340" s="94" t="s">
        <v>73</v>
      </c>
      <c r="S340" s="94" t="s">
        <v>73</v>
      </c>
      <c r="T340" s="94" t="s">
        <v>73</v>
      </c>
      <c r="U340" s="94" t="s">
        <v>75</v>
      </c>
      <c r="V340" s="94" t="s">
        <v>1207</v>
      </c>
      <c r="W340" s="94" t="s">
        <v>694</v>
      </c>
      <c r="X340" s="110">
        <v>41631.0</v>
      </c>
      <c r="Y340" s="94" t="s">
        <v>75</v>
      </c>
      <c r="Z340" s="122" t="s">
        <v>929</v>
      </c>
      <c r="AA340" s="94" t="s">
        <v>75</v>
      </c>
      <c r="AB340" s="121" t="s">
        <v>484</v>
      </c>
      <c r="AC340" s="94" t="s">
        <v>77</v>
      </c>
      <c r="AD340" s="94" t="s">
        <v>78</v>
      </c>
      <c r="AE340" s="94" t="s">
        <v>205</v>
      </c>
      <c r="AF340" s="6" t="s">
        <v>151</v>
      </c>
      <c r="AG340" s="94" t="s">
        <v>95</v>
      </c>
      <c r="AH340" s="94" t="s">
        <v>96</v>
      </c>
      <c r="AI340" s="94" t="s">
        <v>948</v>
      </c>
      <c r="AJ340" s="94"/>
      <c r="AK340" s="94"/>
      <c r="AL340" s="94"/>
      <c r="AM340" s="94" t="s">
        <v>1103</v>
      </c>
      <c r="BF340" s="14">
        <v>45657.0</v>
      </c>
      <c r="BG340" s="7" t="s">
        <v>73</v>
      </c>
      <c r="BI340" s="15">
        <f t="shared" si="6"/>
        <v>48</v>
      </c>
      <c r="BJ340" s="15" t="str">
        <f t="shared" si="3"/>
        <v>35-55</v>
      </c>
      <c r="BL340" s="85"/>
      <c r="BM340" s="85"/>
      <c r="BN340" s="94" t="s">
        <v>151</v>
      </c>
    </row>
    <row r="341" ht="15.75" customHeight="1">
      <c r="A341" s="1">
        <v>365.0</v>
      </c>
      <c r="B341" s="2">
        <v>365.0</v>
      </c>
      <c r="C341" s="86">
        <v>45499.61410010417</v>
      </c>
      <c r="D341" s="10" t="s">
        <v>1208</v>
      </c>
      <c r="E341" s="87">
        <v>38790.0</v>
      </c>
      <c r="F341" s="13" t="s">
        <v>67</v>
      </c>
      <c r="G341" s="13" t="s">
        <v>1209</v>
      </c>
      <c r="H341" s="13">
        <v>2.494242455E9</v>
      </c>
      <c r="I341" s="13" t="s">
        <v>92</v>
      </c>
      <c r="J341" s="13" t="s">
        <v>109</v>
      </c>
      <c r="K341" s="13" t="s">
        <v>134</v>
      </c>
      <c r="L341" s="13">
        <v>45.0</v>
      </c>
      <c r="M341" s="13">
        <v>145.0</v>
      </c>
      <c r="N341" s="13" t="s">
        <v>73</v>
      </c>
      <c r="O341" s="13"/>
      <c r="P341" s="13" t="s">
        <v>74</v>
      </c>
      <c r="Q341" s="13"/>
      <c r="R341" s="13" t="s">
        <v>73</v>
      </c>
      <c r="S341" s="13" t="s">
        <v>73</v>
      </c>
      <c r="T341" s="13" t="s">
        <v>73</v>
      </c>
      <c r="U341" s="13" t="s">
        <v>73</v>
      </c>
      <c r="V341" s="13"/>
      <c r="W341" s="13"/>
      <c r="X341" s="13"/>
      <c r="Y341" s="13" t="s">
        <v>73</v>
      </c>
      <c r="Z341" s="13"/>
      <c r="AA341" s="13" t="s">
        <v>75</v>
      </c>
      <c r="AB341" s="89" t="s">
        <v>76</v>
      </c>
      <c r="AC341" s="13" t="s">
        <v>77</v>
      </c>
      <c r="AD341" s="13" t="s">
        <v>78</v>
      </c>
      <c r="AE341" s="13" t="s">
        <v>138</v>
      </c>
      <c r="AF341" s="6" t="s">
        <v>151</v>
      </c>
      <c r="AG341" s="13" t="s">
        <v>81</v>
      </c>
      <c r="AH341" s="13" t="s">
        <v>77</v>
      </c>
      <c r="AI341" s="13" t="s">
        <v>999</v>
      </c>
      <c r="AJ341" s="13"/>
      <c r="AK341" s="13"/>
      <c r="AL341" s="13"/>
      <c r="AM341" s="13" t="s">
        <v>1103</v>
      </c>
      <c r="BF341" s="91">
        <v>45502.0</v>
      </c>
      <c r="BG341" s="7" t="s">
        <v>75</v>
      </c>
      <c r="BH341" s="85" t="s">
        <v>1079</v>
      </c>
      <c r="BI341" s="15">
        <f t="shared" si="6"/>
        <v>18</v>
      </c>
      <c r="BJ341" s="15" t="str">
        <f t="shared" si="3"/>
        <v>18-35</v>
      </c>
      <c r="BL341" s="85"/>
      <c r="BM341" s="85"/>
      <c r="BN341" s="13" t="s">
        <v>151</v>
      </c>
    </row>
    <row r="342" ht="15.75" customHeight="1">
      <c r="A342" s="1">
        <v>366.0</v>
      </c>
      <c r="B342" s="2">
        <v>366.0</v>
      </c>
      <c r="C342" s="86">
        <v>45499.64461116898</v>
      </c>
      <c r="D342" s="10" t="s">
        <v>1210</v>
      </c>
      <c r="E342" s="87">
        <v>26483.0</v>
      </c>
      <c r="F342" s="13" t="s">
        <v>67</v>
      </c>
      <c r="G342" s="13" t="s">
        <v>1211</v>
      </c>
      <c r="H342" s="13">
        <v>2.4946046E9</v>
      </c>
      <c r="I342" s="13" t="s">
        <v>449</v>
      </c>
      <c r="J342" s="13" t="s">
        <v>85</v>
      </c>
      <c r="K342" s="13" t="s">
        <v>71</v>
      </c>
      <c r="L342" s="13">
        <v>66.0</v>
      </c>
      <c r="M342" s="13">
        <v>1.68</v>
      </c>
      <c r="N342" s="13" t="s">
        <v>73</v>
      </c>
      <c r="O342" s="13"/>
      <c r="P342" s="13" t="s">
        <v>74</v>
      </c>
      <c r="Q342" s="13"/>
      <c r="R342" s="13" t="s">
        <v>73</v>
      </c>
      <c r="S342" s="13" t="s">
        <v>73</v>
      </c>
      <c r="T342" s="13" t="s">
        <v>73</v>
      </c>
      <c r="U342" s="13" t="s">
        <v>75</v>
      </c>
      <c r="V342" s="13" t="s">
        <v>1212</v>
      </c>
      <c r="W342" s="13" t="s">
        <v>694</v>
      </c>
      <c r="X342" s="90">
        <v>45422.0</v>
      </c>
      <c r="Y342" s="13" t="s">
        <v>73</v>
      </c>
      <c r="Z342" s="13"/>
      <c r="AA342" s="13" t="s">
        <v>75</v>
      </c>
      <c r="AB342" s="89" t="s">
        <v>76</v>
      </c>
      <c r="AC342" s="13" t="s">
        <v>77</v>
      </c>
      <c r="AD342" s="13" t="s">
        <v>78</v>
      </c>
      <c r="AE342" s="13" t="s">
        <v>113</v>
      </c>
      <c r="AF342" s="6" t="s">
        <v>80</v>
      </c>
      <c r="AG342" s="13" t="s">
        <v>95</v>
      </c>
      <c r="AH342" s="13" t="s">
        <v>102</v>
      </c>
      <c r="AI342" s="13" t="s">
        <v>911</v>
      </c>
      <c r="AJ342" s="13"/>
      <c r="AK342" s="13"/>
      <c r="AL342" s="13"/>
      <c r="AM342" s="13" t="s">
        <v>1097</v>
      </c>
      <c r="BF342" s="91">
        <v>45503.0</v>
      </c>
      <c r="BG342" s="7" t="s">
        <v>75</v>
      </c>
      <c r="BH342" s="85" t="s">
        <v>1079</v>
      </c>
      <c r="BI342" s="15">
        <f t="shared" si="6"/>
        <v>52</v>
      </c>
      <c r="BJ342" s="15" t="str">
        <f t="shared" si="3"/>
        <v>35-55</v>
      </c>
      <c r="BL342" s="85"/>
      <c r="BM342" s="85"/>
      <c r="BN342" s="13" t="s">
        <v>80</v>
      </c>
    </row>
    <row r="343" ht="15.75" customHeight="1">
      <c r="A343" s="1">
        <v>367.0</v>
      </c>
      <c r="B343" s="2">
        <v>367.0</v>
      </c>
      <c r="C343" s="86">
        <v>45499.6467471875</v>
      </c>
      <c r="D343" s="10" t="s">
        <v>1213</v>
      </c>
      <c r="E343" s="87">
        <v>26502.0</v>
      </c>
      <c r="F343" s="13" t="s">
        <v>106</v>
      </c>
      <c r="G343" s="13" t="s">
        <v>1214</v>
      </c>
      <c r="H343" s="13">
        <v>2.494000657E9</v>
      </c>
      <c r="I343" s="13" t="s">
        <v>92</v>
      </c>
      <c r="J343" s="13" t="s">
        <v>85</v>
      </c>
      <c r="K343" s="13" t="s">
        <v>86</v>
      </c>
      <c r="L343" s="13">
        <v>82.0</v>
      </c>
      <c r="M343" s="13">
        <v>1.72</v>
      </c>
      <c r="N343" s="13" t="s">
        <v>73</v>
      </c>
      <c r="O343" s="13"/>
      <c r="P343" s="13" t="s">
        <v>74</v>
      </c>
      <c r="Q343" s="13"/>
      <c r="R343" s="13" t="s">
        <v>73</v>
      </c>
      <c r="S343" s="13" t="s">
        <v>73</v>
      </c>
      <c r="T343" s="13" t="s">
        <v>73</v>
      </c>
      <c r="U343" s="13" t="s">
        <v>75</v>
      </c>
      <c r="V343" s="13" t="s">
        <v>1215</v>
      </c>
      <c r="W343" s="13" t="s">
        <v>694</v>
      </c>
      <c r="X343" s="90">
        <v>45422.0</v>
      </c>
      <c r="Y343" s="13" t="s">
        <v>75</v>
      </c>
      <c r="Z343" s="13" t="s">
        <v>483</v>
      </c>
      <c r="AA343" s="13" t="s">
        <v>75</v>
      </c>
      <c r="AB343" s="89" t="s">
        <v>76</v>
      </c>
      <c r="AC343" s="13" t="s">
        <v>102</v>
      </c>
      <c r="AD343" s="13" t="s">
        <v>78</v>
      </c>
      <c r="AE343" s="13" t="s">
        <v>205</v>
      </c>
      <c r="AF343" s="6" t="s">
        <v>80</v>
      </c>
      <c r="AG343" s="13" t="s">
        <v>81</v>
      </c>
      <c r="AH343" s="13" t="s">
        <v>82</v>
      </c>
      <c r="AI343" s="13"/>
      <c r="AJ343" s="13"/>
      <c r="AK343" s="13"/>
      <c r="AL343" s="13"/>
      <c r="AM343" s="13" t="s">
        <v>1097</v>
      </c>
      <c r="BF343" s="91">
        <v>45503.0</v>
      </c>
      <c r="BG343" s="7" t="s">
        <v>75</v>
      </c>
      <c r="BH343" s="85" t="s">
        <v>1079</v>
      </c>
      <c r="BI343" s="15">
        <f t="shared" si="6"/>
        <v>52</v>
      </c>
      <c r="BJ343" s="15" t="str">
        <f t="shared" si="3"/>
        <v>35-55</v>
      </c>
      <c r="BL343" s="85"/>
      <c r="BM343" s="85"/>
      <c r="BN343" s="13" t="s">
        <v>80</v>
      </c>
    </row>
    <row r="344" ht="15.75" customHeight="1">
      <c r="A344" s="1">
        <v>368.0</v>
      </c>
      <c r="B344" s="2">
        <v>368.0</v>
      </c>
      <c r="C344" s="86">
        <v>45499.67473351852</v>
      </c>
      <c r="D344" s="10" t="s">
        <v>1216</v>
      </c>
      <c r="E344" s="87">
        <v>36998.0</v>
      </c>
      <c r="F344" s="13" t="s">
        <v>106</v>
      </c>
      <c r="G344" s="13" t="s">
        <v>1217</v>
      </c>
      <c r="H344" s="13">
        <v>2.494370913E9</v>
      </c>
      <c r="I344" s="13" t="s">
        <v>92</v>
      </c>
      <c r="J344" s="13" t="s">
        <v>109</v>
      </c>
      <c r="K344" s="13" t="s">
        <v>86</v>
      </c>
      <c r="L344" s="13">
        <v>88.0</v>
      </c>
      <c r="M344" s="13">
        <v>1.73</v>
      </c>
      <c r="N344" s="13" t="s">
        <v>73</v>
      </c>
      <c r="O344" s="13"/>
      <c r="P344" s="13" t="s">
        <v>178</v>
      </c>
      <c r="Q344" s="13"/>
      <c r="R344" s="13" t="s">
        <v>73</v>
      </c>
      <c r="S344" s="13" t="s">
        <v>73</v>
      </c>
      <c r="T344" s="13" t="s">
        <v>73</v>
      </c>
      <c r="U344" s="13" t="s">
        <v>75</v>
      </c>
      <c r="V344" s="13" t="s">
        <v>1218</v>
      </c>
      <c r="W344" s="13" t="s">
        <v>694</v>
      </c>
      <c r="X344" s="90">
        <v>45483.0</v>
      </c>
      <c r="Y344" s="13" t="s">
        <v>73</v>
      </c>
      <c r="Z344" s="13"/>
      <c r="AA344" s="13" t="s">
        <v>75</v>
      </c>
      <c r="AB344" s="89" t="s">
        <v>76</v>
      </c>
      <c r="AC344" s="13" t="s">
        <v>95</v>
      </c>
      <c r="AD344" s="13" t="s">
        <v>78</v>
      </c>
      <c r="AE344" s="13" t="s">
        <v>138</v>
      </c>
      <c r="AF344" s="6" t="s">
        <v>187</v>
      </c>
      <c r="AG344" s="13" t="s">
        <v>81</v>
      </c>
      <c r="AH344" s="13" t="s">
        <v>82</v>
      </c>
      <c r="AI344" s="13"/>
      <c r="AJ344" s="13"/>
      <c r="AK344" s="13"/>
      <c r="AL344" s="13"/>
      <c r="AM344" s="13" t="s">
        <v>1078</v>
      </c>
      <c r="BF344" s="91">
        <v>45502.0</v>
      </c>
      <c r="BG344" s="7" t="s">
        <v>75</v>
      </c>
      <c r="BH344" s="85" t="s">
        <v>1079</v>
      </c>
      <c r="BI344" s="15">
        <f t="shared" si="6"/>
        <v>23</v>
      </c>
      <c r="BJ344" s="15" t="str">
        <f t="shared" si="3"/>
        <v>18-35</v>
      </c>
      <c r="BL344" s="85"/>
      <c r="BM344" s="85"/>
      <c r="BN344" s="13" t="s">
        <v>187</v>
      </c>
    </row>
    <row r="345" ht="15.75" customHeight="1">
      <c r="A345" s="1">
        <v>369.0</v>
      </c>
      <c r="B345" s="2">
        <v>369.0</v>
      </c>
      <c r="C345" s="86">
        <v>45499.67533384259</v>
      </c>
      <c r="D345" s="10" t="s">
        <v>1219</v>
      </c>
      <c r="E345" s="87">
        <v>36864.0</v>
      </c>
      <c r="F345" s="13" t="s">
        <v>106</v>
      </c>
      <c r="G345" s="13" t="s">
        <v>1220</v>
      </c>
      <c r="H345" s="13">
        <v>2.494213156E9</v>
      </c>
      <c r="I345" s="13" t="s">
        <v>449</v>
      </c>
      <c r="J345" s="13" t="s">
        <v>85</v>
      </c>
      <c r="K345" s="13" t="s">
        <v>86</v>
      </c>
      <c r="L345" s="13">
        <v>77.0</v>
      </c>
      <c r="M345" s="13">
        <v>186.0</v>
      </c>
      <c r="N345" s="13" t="s">
        <v>73</v>
      </c>
      <c r="O345" s="13"/>
      <c r="P345" s="13" t="s">
        <v>178</v>
      </c>
      <c r="Q345" s="13"/>
      <c r="R345" s="13" t="s">
        <v>73</v>
      </c>
      <c r="S345" s="13" t="s">
        <v>73</v>
      </c>
      <c r="T345" s="13" t="s">
        <v>73</v>
      </c>
      <c r="U345" s="13" t="s">
        <v>73</v>
      </c>
      <c r="V345" s="13"/>
      <c r="W345" s="13"/>
      <c r="X345" s="13"/>
      <c r="Y345" s="13" t="s">
        <v>73</v>
      </c>
      <c r="Z345" s="13"/>
      <c r="AA345" s="13" t="s">
        <v>75</v>
      </c>
      <c r="AB345" s="89" t="s">
        <v>76</v>
      </c>
      <c r="AC345" s="13" t="s">
        <v>95</v>
      </c>
      <c r="AD345" s="13" t="s">
        <v>78</v>
      </c>
      <c r="AE345" s="13" t="s">
        <v>138</v>
      </c>
      <c r="AF345" s="6" t="s">
        <v>80</v>
      </c>
      <c r="AG345" s="13" t="s">
        <v>81</v>
      </c>
      <c r="AH345" s="13" t="s">
        <v>82</v>
      </c>
      <c r="AI345" s="13"/>
      <c r="AJ345" s="13"/>
      <c r="AK345" s="13"/>
      <c r="AL345" s="13"/>
      <c r="AM345" s="13" t="s">
        <v>1087</v>
      </c>
      <c r="BF345" s="91">
        <v>45504.0</v>
      </c>
      <c r="BG345" s="7" t="s">
        <v>75</v>
      </c>
      <c r="BH345" s="85" t="s">
        <v>1079</v>
      </c>
      <c r="BI345" s="15">
        <f t="shared" si="6"/>
        <v>24</v>
      </c>
      <c r="BJ345" s="15" t="str">
        <f t="shared" si="3"/>
        <v>18-35</v>
      </c>
      <c r="BL345" s="85"/>
      <c r="BM345" s="85"/>
      <c r="BN345" s="13" t="s">
        <v>80</v>
      </c>
    </row>
    <row r="346" ht="15.75" customHeight="1">
      <c r="A346" s="1">
        <v>370.0</v>
      </c>
      <c r="B346" s="2">
        <v>370.0</v>
      </c>
      <c r="C346" s="86">
        <v>45499.684014108796</v>
      </c>
      <c r="D346" s="10" t="s">
        <v>1221</v>
      </c>
      <c r="E346" s="87">
        <v>36604.0</v>
      </c>
      <c r="F346" s="13" t="s">
        <v>106</v>
      </c>
      <c r="G346" s="13" t="s">
        <v>1222</v>
      </c>
      <c r="H346" s="13">
        <v>1.40931031E8</v>
      </c>
      <c r="I346" s="13" t="s">
        <v>92</v>
      </c>
      <c r="J346" s="13" t="s">
        <v>109</v>
      </c>
      <c r="K346" s="13" t="s">
        <v>71</v>
      </c>
      <c r="L346" s="13">
        <v>75.0</v>
      </c>
      <c r="M346" s="13">
        <v>180.0</v>
      </c>
      <c r="N346" s="13" t="s">
        <v>73</v>
      </c>
      <c r="O346" s="13"/>
      <c r="P346" s="13" t="s">
        <v>74</v>
      </c>
      <c r="Q346" s="13"/>
      <c r="R346" s="13" t="s">
        <v>73</v>
      </c>
      <c r="S346" s="13" t="s">
        <v>73</v>
      </c>
      <c r="T346" s="13" t="s">
        <v>73</v>
      </c>
      <c r="U346" s="13" t="s">
        <v>75</v>
      </c>
      <c r="V346" s="13" t="s">
        <v>1223</v>
      </c>
      <c r="W346" s="13" t="s">
        <v>694</v>
      </c>
      <c r="X346" s="90">
        <v>45444.0</v>
      </c>
      <c r="Y346" s="13" t="s">
        <v>73</v>
      </c>
      <c r="Z346" s="13"/>
      <c r="AA346" s="13" t="s">
        <v>75</v>
      </c>
      <c r="AB346" s="89" t="s">
        <v>76</v>
      </c>
      <c r="AC346" s="13" t="s">
        <v>77</v>
      </c>
      <c r="AD346" s="13" t="s">
        <v>94</v>
      </c>
      <c r="AE346" s="13" t="s">
        <v>138</v>
      </c>
      <c r="AF346" s="6" t="s">
        <v>151</v>
      </c>
      <c r="AG346" s="13" t="s">
        <v>82</v>
      </c>
      <c r="AH346" s="13" t="s">
        <v>82</v>
      </c>
      <c r="AI346" s="13"/>
      <c r="AJ346" s="13"/>
      <c r="AK346" s="13"/>
      <c r="AL346" s="13"/>
      <c r="AM346" s="13" t="s">
        <v>1103</v>
      </c>
      <c r="BF346" s="91">
        <v>45500.0</v>
      </c>
      <c r="BG346" s="7" t="s">
        <v>75</v>
      </c>
      <c r="BH346" s="85" t="s">
        <v>1079</v>
      </c>
      <c r="BI346" s="15">
        <f t="shared" si="6"/>
        <v>24</v>
      </c>
      <c r="BJ346" s="15" t="str">
        <f t="shared" si="3"/>
        <v>18-35</v>
      </c>
      <c r="BL346" s="85"/>
      <c r="BM346" s="85"/>
      <c r="BN346" s="13" t="s">
        <v>151</v>
      </c>
    </row>
    <row r="347" ht="15.75" customHeight="1">
      <c r="A347" s="1">
        <v>371.0</v>
      </c>
      <c r="B347" s="2">
        <v>371.0</v>
      </c>
      <c r="C347" s="92">
        <v>45499.72062649306</v>
      </c>
      <c r="D347" s="33" t="s">
        <v>1224</v>
      </c>
      <c r="E347" s="93">
        <v>31234.0</v>
      </c>
      <c r="F347" s="94" t="s">
        <v>67</v>
      </c>
      <c r="G347" s="94" t="s">
        <v>1225</v>
      </c>
      <c r="H347" s="94">
        <v>2.494678615E9</v>
      </c>
      <c r="I347" s="94" t="s">
        <v>92</v>
      </c>
      <c r="J347" s="94" t="s">
        <v>109</v>
      </c>
      <c r="K347" s="94" t="s">
        <v>71</v>
      </c>
      <c r="L347" s="94">
        <v>67.0</v>
      </c>
      <c r="M347" s="94">
        <v>174.0</v>
      </c>
      <c r="N347" s="94" t="s">
        <v>75</v>
      </c>
      <c r="O347" s="94" t="s">
        <v>1226</v>
      </c>
      <c r="P347" s="94" t="s">
        <v>329</v>
      </c>
      <c r="Q347" s="94"/>
      <c r="R347" s="94" t="s">
        <v>73</v>
      </c>
      <c r="S347" s="94" t="s">
        <v>73</v>
      </c>
      <c r="T347" s="94" t="s">
        <v>73</v>
      </c>
      <c r="U347" s="94" t="s">
        <v>75</v>
      </c>
      <c r="V347" s="94" t="s">
        <v>1227</v>
      </c>
      <c r="W347" s="94" t="s">
        <v>987</v>
      </c>
      <c r="X347" s="110">
        <v>45272.0</v>
      </c>
      <c r="Y347" s="94" t="s">
        <v>73</v>
      </c>
      <c r="Z347" s="94"/>
      <c r="AA347" s="94" t="s">
        <v>73</v>
      </c>
      <c r="AB347" s="121"/>
      <c r="AC347" s="94" t="s">
        <v>77</v>
      </c>
      <c r="AD347" s="94" t="s">
        <v>94</v>
      </c>
      <c r="AE347" s="94" t="s">
        <v>79</v>
      </c>
      <c r="AF347" s="6" t="s">
        <v>80</v>
      </c>
      <c r="AG347" s="94" t="s">
        <v>95</v>
      </c>
      <c r="AH347" s="94" t="s">
        <v>82</v>
      </c>
      <c r="AI347" s="94"/>
      <c r="AJ347" s="94"/>
      <c r="AK347" s="94"/>
      <c r="AL347" s="94"/>
      <c r="AM347" s="94" t="s">
        <v>1094</v>
      </c>
      <c r="BF347" s="14">
        <v>45657.0</v>
      </c>
      <c r="BG347" s="7" t="s">
        <v>73</v>
      </c>
      <c r="BI347" s="15">
        <f t="shared" si="6"/>
        <v>39</v>
      </c>
      <c r="BJ347" s="15" t="str">
        <f t="shared" si="3"/>
        <v>35-55</v>
      </c>
      <c r="BL347" s="85"/>
      <c r="BM347" s="85"/>
      <c r="BN347" s="94" t="s">
        <v>80</v>
      </c>
    </row>
    <row r="348" ht="15.75" customHeight="1">
      <c r="A348" s="1">
        <v>372.0</v>
      </c>
      <c r="B348" s="2">
        <v>372.0</v>
      </c>
      <c r="C348" s="86">
        <v>45499.853070474535</v>
      </c>
      <c r="D348" s="10" t="s">
        <v>1216</v>
      </c>
      <c r="E348" s="87">
        <v>36998.0</v>
      </c>
      <c r="F348" s="13" t="s">
        <v>106</v>
      </c>
      <c r="G348" s="13" t="s">
        <v>1217</v>
      </c>
      <c r="H348" s="13">
        <v>2.494370913E9</v>
      </c>
      <c r="I348" s="13" t="s">
        <v>92</v>
      </c>
      <c r="J348" s="13" t="s">
        <v>109</v>
      </c>
      <c r="K348" s="13" t="s">
        <v>71</v>
      </c>
      <c r="L348" s="13">
        <v>87.0</v>
      </c>
      <c r="M348" s="13">
        <v>1.73</v>
      </c>
      <c r="N348" s="13" t="s">
        <v>73</v>
      </c>
      <c r="O348" s="13"/>
      <c r="P348" s="13" t="s">
        <v>1228</v>
      </c>
      <c r="Q348" s="13"/>
      <c r="R348" s="13" t="s">
        <v>73</v>
      </c>
      <c r="S348" s="13" t="s">
        <v>73</v>
      </c>
      <c r="T348" s="13" t="s">
        <v>73</v>
      </c>
      <c r="U348" s="13" t="s">
        <v>73</v>
      </c>
      <c r="V348" s="13"/>
      <c r="W348" s="13"/>
      <c r="X348" s="13"/>
      <c r="Y348" s="13" t="s">
        <v>73</v>
      </c>
      <c r="Z348" s="13"/>
      <c r="AA348" s="13" t="s">
        <v>75</v>
      </c>
      <c r="AB348" s="89" t="s">
        <v>76</v>
      </c>
      <c r="AC348" s="13" t="s">
        <v>95</v>
      </c>
      <c r="AD348" s="13" t="s">
        <v>78</v>
      </c>
      <c r="AE348" s="13" t="s">
        <v>138</v>
      </c>
      <c r="AF348" s="6" t="s">
        <v>187</v>
      </c>
      <c r="AG348" s="13" t="s">
        <v>81</v>
      </c>
      <c r="AH348" s="13" t="s">
        <v>82</v>
      </c>
      <c r="AI348" s="13"/>
      <c r="AJ348" s="13"/>
      <c r="AK348" s="13"/>
      <c r="AL348" s="13"/>
      <c r="AM348" s="13" t="s">
        <v>1087</v>
      </c>
      <c r="BF348" s="91">
        <v>45504.0</v>
      </c>
      <c r="BG348" s="7" t="s">
        <v>75</v>
      </c>
      <c r="BH348" s="85" t="s">
        <v>1079</v>
      </c>
      <c r="BI348" s="15">
        <f t="shared" si="6"/>
        <v>23</v>
      </c>
      <c r="BJ348" s="15" t="str">
        <f t="shared" si="3"/>
        <v>18-35</v>
      </c>
      <c r="BL348" s="85"/>
      <c r="BM348" s="85"/>
      <c r="BN348" s="13" t="s">
        <v>1229</v>
      </c>
    </row>
    <row r="349" ht="15.75" customHeight="1">
      <c r="A349" s="1">
        <v>373.0</v>
      </c>
      <c r="B349" s="2">
        <v>373.0</v>
      </c>
      <c r="C349" s="86">
        <v>45499.857816180556</v>
      </c>
      <c r="D349" s="10" t="s">
        <v>1230</v>
      </c>
      <c r="E349" s="87">
        <v>36770.0</v>
      </c>
      <c r="F349" s="13" t="s">
        <v>67</v>
      </c>
      <c r="G349" s="13" t="s">
        <v>1231</v>
      </c>
      <c r="H349" s="13">
        <v>2.494332147E9</v>
      </c>
      <c r="I349" s="13" t="s">
        <v>449</v>
      </c>
      <c r="J349" s="13" t="s">
        <v>85</v>
      </c>
      <c r="K349" s="13" t="s">
        <v>134</v>
      </c>
      <c r="L349" s="13">
        <v>57.0</v>
      </c>
      <c r="M349" s="13">
        <v>158.0</v>
      </c>
      <c r="N349" s="13" t="s">
        <v>75</v>
      </c>
      <c r="O349" s="13" t="s">
        <v>616</v>
      </c>
      <c r="P349" s="13" t="s">
        <v>74</v>
      </c>
      <c r="Q349" s="13"/>
      <c r="R349" s="13" t="s">
        <v>73</v>
      </c>
      <c r="S349" s="13" t="s">
        <v>73</v>
      </c>
      <c r="T349" s="13" t="s">
        <v>73</v>
      </c>
      <c r="U349" s="13" t="s">
        <v>75</v>
      </c>
      <c r="V349" s="13" t="s">
        <v>1232</v>
      </c>
      <c r="W349" s="13" t="s">
        <v>694</v>
      </c>
      <c r="X349" s="90">
        <v>45392.0</v>
      </c>
      <c r="Y349" s="13" t="s">
        <v>73</v>
      </c>
      <c r="Z349" s="13"/>
      <c r="AA349" s="13" t="s">
        <v>75</v>
      </c>
      <c r="AB349" s="89" t="s">
        <v>76</v>
      </c>
      <c r="AC349" s="13" t="s">
        <v>82</v>
      </c>
      <c r="AD349" s="13" t="s">
        <v>94</v>
      </c>
      <c r="AE349" s="13" t="s">
        <v>113</v>
      </c>
      <c r="AF349" s="6" t="s">
        <v>80</v>
      </c>
      <c r="AG349" s="13" t="s">
        <v>95</v>
      </c>
      <c r="AH349" s="13" t="s">
        <v>96</v>
      </c>
      <c r="AI349" s="13" t="s">
        <v>1233</v>
      </c>
      <c r="AJ349" s="13"/>
      <c r="AK349" s="13"/>
      <c r="AL349" s="13"/>
      <c r="AM349" s="13" t="s">
        <v>1078</v>
      </c>
      <c r="BF349" s="91">
        <v>45502.0</v>
      </c>
      <c r="BG349" s="7" t="s">
        <v>75</v>
      </c>
      <c r="BH349" s="85" t="s">
        <v>1079</v>
      </c>
      <c r="BI349" s="15">
        <f t="shared" si="6"/>
        <v>24</v>
      </c>
      <c r="BJ349" s="15" t="str">
        <f t="shared" si="3"/>
        <v>18-35</v>
      </c>
      <c r="BL349" s="85"/>
      <c r="BM349" s="85"/>
      <c r="BN349" s="13" t="s">
        <v>80</v>
      </c>
    </row>
    <row r="350" ht="15.75" customHeight="1">
      <c r="A350" s="1">
        <v>374.0</v>
      </c>
      <c r="B350" s="2">
        <v>374.0</v>
      </c>
      <c r="C350" s="86">
        <v>45499.91619826389</v>
      </c>
      <c r="D350" s="10" t="s">
        <v>1234</v>
      </c>
      <c r="E350" s="87">
        <v>35612.0</v>
      </c>
      <c r="F350" s="13" t="s">
        <v>67</v>
      </c>
      <c r="G350" s="13" t="s">
        <v>1235</v>
      </c>
      <c r="H350" s="13">
        <v>2.49465882E9</v>
      </c>
      <c r="I350" s="13" t="s">
        <v>449</v>
      </c>
      <c r="J350" s="13" t="s">
        <v>109</v>
      </c>
      <c r="K350" s="13" t="s">
        <v>86</v>
      </c>
      <c r="L350" s="13">
        <v>68.0</v>
      </c>
      <c r="M350" s="13">
        <v>173.0</v>
      </c>
      <c r="N350" s="13" t="s">
        <v>75</v>
      </c>
      <c r="O350" s="13" t="s">
        <v>1206</v>
      </c>
      <c r="P350" s="13" t="s">
        <v>74</v>
      </c>
      <c r="Q350" s="13"/>
      <c r="R350" s="13" t="s">
        <v>75</v>
      </c>
      <c r="S350" s="13" t="s">
        <v>73</v>
      </c>
      <c r="T350" s="13" t="s">
        <v>73</v>
      </c>
      <c r="U350" s="13" t="s">
        <v>73</v>
      </c>
      <c r="V350" s="13"/>
      <c r="W350" s="13"/>
      <c r="X350" s="13"/>
      <c r="Y350" s="13" t="s">
        <v>75</v>
      </c>
      <c r="Z350" s="88" t="s">
        <v>929</v>
      </c>
      <c r="AA350" s="13" t="s">
        <v>75</v>
      </c>
      <c r="AB350" s="89" t="s">
        <v>76</v>
      </c>
      <c r="AC350" s="13" t="s">
        <v>82</v>
      </c>
      <c r="AD350" s="13" t="s">
        <v>94</v>
      </c>
      <c r="AE350" s="13" t="s">
        <v>131</v>
      </c>
      <c r="AF350" s="6" t="s">
        <v>80</v>
      </c>
      <c r="AG350" s="13" t="s">
        <v>95</v>
      </c>
      <c r="AH350" s="13" t="s">
        <v>77</v>
      </c>
      <c r="AI350" s="13" t="s">
        <v>948</v>
      </c>
      <c r="AJ350" s="13"/>
      <c r="AK350" s="13"/>
      <c r="AL350" s="13"/>
      <c r="AM350" s="13" t="s">
        <v>1189</v>
      </c>
      <c r="BF350" s="91">
        <v>45505.0</v>
      </c>
      <c r="BG350" s="7" t="s">
        <v>75</v>
      </c>
      <c r="BH350" s="85" t="s">
        <v>1079</v>
      </c>
      <c r="BI350" s="15">
        <f t="shared" si="6"/>
        <v>27</v>
      </c>
      <c r="BJ350" s="15" t="str">
        <f t="shared" si="3"/>
        <v>18-35</v>
      </c>
      <c r="BL350" s="85"/>
      <c r="BM350" s="85"/>
      <c r="BN350" s="13" t="s">
        <v>80</v>
      </c>
    </row>
    <row r="351" ht="15.75" customHeight="1">
      <c r="A351" s="1">
        <v>375.0</v>
      </c>
      <c r="B351" s="2">
        <v>375.0</v>
      </c>
      <c r="C351" s="86">
        <v>45500.52370839121</v>
      </c>
      <c r="D351" s="10" t="s">
        <v>1236</v>
      </c>
      <c r="E351" s="87">
        <v>27419.0</v>
      </c>
      <c r="F351" s="13" t="s">
        <v>67</v>
      </c>
      <c r="G351" s="13" t="s">
        <v>1237</v>
      </c>
      <c r="H351" s="13">
        <v>2.494587446E9</v>
      </c>
      <c r="I351" s="13" t="s">
        <v>92</v>
      </c>
      <c r="J351" s="13" t="s">
        <v>85</v>
      </c>
      <c r="K351" s="13" t="s">
        <v>71</v>
      </c>
      <c r="L351" s="13">
        <v>75.0</v>
      </c>
      <c r="M351" s="13">
        <v>1.65</v>
      </c>
      <c r="N351" s="13" t="s">
        <v>75</v>
      </c>
      <c r="O351" s="13" t="s">
        <v>1238</v>
      </c>
      <c r="P351" s="13" t="s">
        <v>74</v>
      </c>
      <c r="Q351" s="13"/>
      <c r="R351" s="13" t="s">
        <v>73</v>
      </c>
      <c r="S351" s="13" t="s">
        <v>73</v>
      </c>
      <c r="T351" s="13" t="s">
        <v>73</v>
      </c>
      <c r="U351" s="13" t="s">
        <v>73</v>
      </c>
      <c r="V351" s="13"/>
      <c r="W351" s="13"/>
      <c r="X351" s="13"/>
      <c r="Y351" s="13" t="s">
        <v>73</v>
      </c>
      <c r="Z351" s="13"/>
      <c r="AA351" s="13" t="s">
        <v>75</v>
      </c>
      <c r="AB351" s="89" t="s">
        <v>76</v>
      </c>
      <c r="AC351" s="13" t="s">
        <v>77</v>
      </c>
      <c r="AD351" s="13" t="s">
        <v>78</v>
      </c>
      <c r="AE351" s="13" t="s">
        <v>138</v>
      </c>
      <c r="AF351" s="6" t="s">
        <v>151</v>
      </c>
      <c r="AG351" s="13" t="s">
        <v>81</v>
      </c>
      <c r="AH351" s="13" t="s">
        <v>96</v>
      </c>
      <c r="AI351" s="13" t="s">
        <v>951</v>
      </c>
      <c r="AJ351" s="13"/>
      <c r="AK351" s="13"/>
      <c r="AL351" s="13"/>
      <c r="AM351" s="13" t="s">
        <v>1078</v>
      </c>
      <c r="BF351" s="91">
        <v>45502.0</v>
      </c>
      <c r="BG351" s="7" t="s">
        <v>75</v>
      </c>
      <c r="BH351" s="85" t="s">
        <v>1079</v>
      </c>
      <c r="BI351" s="15">
        <f t="shared" si="6"/>
        <v>49</v>
      </c>
      <c r="BJ351" s="15" t="str">
        <f t="shared" si="3"/>
        <v>35-55</v>
      </c>
      <c r="BL351" s="85"/>
      <c r="BM351" s="85"/>
      <c r="BN351" s="13" t="s">
        <v>151</v>
      </c>
    </row>
    <row r="352" ht="15.75" customHeight="1">
      <c r="A352" s="1">
        <v>376.0</v>
      </c>
      <c r="B352" s="2">
        <v>376.0</v>
      </c>
      <c r="C352" s="101">
        <v>45500.7624721875</v>
      </c>
      <c r="D352" s="38" t="s">
        <v>1239</v>
      </c>
      <c r="E352" s="102">
        <v>36486.0</v>
      </c>
      <c r="F352" s="43" t="s">
        <v>67</v>
      </c>
      <c r="G352" s="43" t="s">
        <v>1240</v>
      </c>
      <c r="H352" s="43">
        <v>2.284693452E9</v>
      </c>
      <c r="I352" s="43" t="s">
        <v>449</v>
      </c>
      <c r="J352" s="43" t="s">
        <v>109</v>
      </c>
      <c r="K352" s="43" t="s">
        <v>166</v>
      </c>
      <c r="L352" s="43">
        <v>61.0</v>
      </c>
      <c r="M352" s="43">
        <v>155.0</v>
      </c>
      <c r="N352" s="43" t="s">
        <v>73</v>
      </c>
      <c r="O352" s="43"/>
      <c r="P352" s="43" t="s">
        <v>993</v>
      </c>
      <c r="Q352" s="43"/>
      <c r="R352" s="43" t="s">
        <v>73</v>
      </c>
      <c r="S352" s="43" t="s">
        <v>75</v>
      </c>
      <c r="T352" s="43" t="s">
        <v>73</v>
      </c>
      <c r="U352" s="43" t="s">
        <v>73</v>
      </c>
      <c r="V352" s="43"/>
      <c r="W352" s="43"/>
      <c r="X352" s="43"/>
      <c r="Y352" s="43" t="s">
        <v>75</v>
      </c>
      <c r="Z352" s="43" t="s">
        <v>483</v>
      </c>
      <c r="AA352" s="43" t="s">
        <v>75</v>
      </c>
      <c r="AB352" s="123" t="s">
        <v>76</v>
      </c>
      <c r="AC352" s="43" t="s">
        <v>82</v>
      </c>
      <c r="AD352" s="43" t="s">
        <v>78</v>
      </c>
      <c r="AE352" s="43" t="s">
        <v>205</v>
      </c>
      <c r="AF352" s="6" t="s">
        <v>80</v>
      </c>
      <c r="AG352" s="43" t="s">
        <v>81</v>
      </c>
      <c r="AH352" s="43" t="s">
        <v>77</v>
      </c>
      <c r="AI352" s="43" t="s">
        <v>956</v>
      </c>
      <c r="AJ352" s="43"/>
      <c r="AK352" s="43"/>
      <c r="AL352" s="43"/>
      <c r="AM352" s="43" t="s">
        <v>1087</v>
      </c>
      <c r="BF352" s="14">
        <v>45657.0</v>
      </c>
      <c r="BG352" s="7" t="s">
        <v>73</v>
      </c>
      <c r="BI352" s="15">
        <f t="shared" si="6"/>
        <v>25</v>
      </c>
      <c r="BJ352" s="15" t="str">
        <f t="shared" si="3"/>
        <v>18-35</v>
      </c>
      <c r="BL352" s="85"/>
      <c r="BM352" s="85"/>
      <c r="BN352" s="43" t="s">
        <v>80</v>
      </c>
    </row>
    <row r="353" ht="15.75" customHeight="1">
      <c r="A353" s="1">
        <v>377.0</v>
      </c>
      <c r="B353" s="2">
        <v>377.0</v>
      </c>
      <c r="C353" s="86">
        <v>45501.52384234953</v>
      </c>
      <c r="D353" s="10" t="s">
        <v>1241</v>
      </c>
      <c r="E353" s="87">
        <v>34628.0</v>
      </c>
      <c r="F353" s="13" t="s">
        <v>106</v>
      </c>
      <c r="G353" s="13" t="s">
        <v>1242</v>
      </c>
      <c r="H353" s="13">
        <v>9.2494357082E10</v>
      </c>
      <c r="I353" s="13" t="s">
        <v>449</v>
      </c>
      <c r="J353" s="13" t="s">
        <v>109</v>
      </c>
      <c r="K353" s="13" t="s">
        <v>71</v>
      </c>
      <c r="L353" s="13">
        <v>74.0</v>
      </c>
      <c r="M353" s="13">
        <v>1.8</v>
      </c>
      <c r="N353" s="13" t="s">
        <v>73</v>
      </c>
      <c r="O353" s="13"/>
      <c r="P353" s="13" t="s">
        <v>74</v>
      </c>
      <c r="Q353" s="13"/>
      <c r="R353" s="13" t="s">
        <v>73</v>
      </c>
      <c r="S353" s="13" t="s">
        <v>73</v>
      </c>
      <c r="T353" s="13" t="s">
        <v>73</v>
      </c>
      <c r="U353" s="13" t="s">
        <v>75</v>
      </c>
      <c r="V353" s="13" t="s">
        <v>1243</v>
      </c>
      <c r="W353" s="13" t="s">
        <v>694</v>
      </c>
      <c r="X353" s="90">
        <v>45426.0</v>
      </c>
      <c r="Y353" s="13" t="s">
        <v>73</v>
      </c>
      <c r="Z353" s="13"/>
      <c r="AA353" s="13" t="s">
        <v>75</v>
      </c>
      <c r="AB353" s="89" t="s">
        <v>76</v>
      </c>
      <c r="AC353" s="13" t="s">
        <v>95</v>
      </c>
      <c r="AD353" s="13" t="s">
        <v>78</v>
      </c>
      <c r="AE353" s="13" t="s">
        <v>138</v>
      </c>
      <c r="AF353" s="6" t="s">
        <v>80</v>
      </c>
      <c r="AG353" s="13" t="s">
        <v>81</v>
      </c>
      <c r="AH353" s="13" t="s">
        <v>82</v>
      </c>
      <c r="AI353" s="13"/>
      <c r="AJ353" s="13"/>
      <c r="AK353" s="13"/>
      <c r="AL353" s="13"/>
      <c r="AM353" s="13" t="s">
        <v>1087</v>
      </c>
      <c r="BF353" s="14">
        <v>45657.0</v>
      </c>
      <c r="BG353" s="7" t="s">
        <v>75</v>
      </c>
      <c r="BH353" s="85" t="s">
        <v>1079</v>
      </c>
      <c r="BI353" s="15">
        <f t="shared" si="6"/>
        <v>30</v>
      </c>
      <c r="BJ353" s="15" t="str">
        <f t="shared" si="3"/>
        <v>18-35</v>
      </c>
      <c r="BL353" s="85"/>
      <c r="BM353" s="85"/>
      <c r="BN353" s="13" t="s">
        <v>80</v>
      </c>
    </row>
    <row r="354" ht="15.75" customHeight="1">
      <c r="A354" s="1">
        <v>378.0</v>
      </c>
      <c r="B354" s="2">
        <v>378.0</v>
      </c>
      <c r="C354" s="86">
        <v>45501.69854175926</v>
      </c>
      <c r="D354" s="10" t="s">
        <v>1244</v>
      </c>
      <c r="E354" s="87">
        <v>35080.0</v>
      </c>
      <c r="F354" s="13" t="s">
        <v>67</v>
      </c>
      <c r="G354" s="13" t="s">
        <v>1245</v>
      </c>
      <c r="H354" s="13">
        <v>2.494365846E9</v>
      </c>
      <c r="I354" s="13" t="s">
        <v>92</v>
      </c>
      <c r="J354" s="13" t="s">
        <v>109</v>
      </c>
      <c r="K354" s="13" t="s">
        <v>71</v>
      </c>
      <c r="L354" s="13">
        <v>70.0</v>
      </c>
      <c r="M354" s="13">
        <v>1.63</v>
      </c>
      <c r="N354" s="13" t="s">
        <v>73</v>
      </c>
      <c r="O354" s="13"/>
      <c r="P354" s="13" t="s">
        <v>74</v>
      </c>
      <c r="Q354" s="13"/>
      <c r="R354" s="13" t="s">
        <v>75</v>
      </c>
      <c r="S354" s="13" t="s">
        <v>73</v>
      </c>
      <c r="T354" s="13" t="s">
        <v>73</v>
      </c>
      <c r="U354" s="13" t="s">
        <v>75</v>
      </c>
      <c r="V354" s="13" t="s">
        <v>1246</v>
      </c>
      <c r="W354" s="13" t="s">
        <v>694</v>
      </c>
      <c r="X354" s="90" t="s">
        <v>1247</v>
      </c>
      <c r="Y354" s="13" t="s">
        <v>73</v>
      </c>
      <c r="Z354" s="13"/>
      <c r="AA354" s="13" t="s">
        <v>73</v>
      </c>
      <c r="AB354" s="96"/>
      <c r="AC354" s="13" t="s">
        <v>77</v>
      </c>
      <c r="AD354" s="13" t="s">
        <v>94</v>
      </c>
      <c r="AE354" s="13" t="s">
        <v>113</v>
      </c>
      <c r="AF354" s="6" t="s">
        <v>80</v>
      </c>
      <c r="AG354" s="13" t="s">
        <v>95</v>
      </c>
      <c r="AH354" s="13" t="s">
        <v>77</v>
      </c>
      <c r="AI354" s="13" t="s">
        <v>989</v>
      </c>
      <c r="AJ354" s="13"/>
      <c r="AK354" s="13"/>
      <c r="AL354" s="13"/>
      <c r="AM354" s="13" t="s">
        <v>1087</v>
      </c>
      <c r="BF354" s="14">
        <v>45657.0</v>
      </c>
      <c r="BG354" s="7" t="s">
        <v>75</v>
      </c>
      <c r="BH354" s="85" t="s">
        <v>1079</v>
      </c>
      <c r="BI354" s="15">
        <f t="shared" si="6"/>
        <v>28</v>
      </c>
      <c r="BJ354" s="15" t="str">
        <f t="shared" si="3"/>
        <v>18-35</v>
      </c>
      <c r="BL354" s="85"/>
      <c r="BM354" s="85"/>
      <c r="BN354" s="13" t="s">
        <v>80</v>
      </c>
    </row>
    <row r="355" ht="15.75" customHeight="1">
      <c r="A355" s="1">
        <v>379.0</v>
      </c>
      <c r="B355" s="2">
        <v>379.0</v>
      </c>
      <c r="C355" s="86">
        <v>45501.70059680556</v>
      </c>
      <c r="D355" s="10" t="s">
        <v>1248</v>
      </c>
      <c r="E355" s="87">
        <v>36910.0</v>
      </c>
      <c r="F355" s="13" t="s">
        <v>106</v>
      </c>
      <c r="G355" s="13" t="s">
        <v>1249</v>
      </c>
      <c r="H355" s="13">
        <v>2.494636062E9</v>
      </c>
      <c r="I355" s="13" t="s">
        <v>449</v>
      </c>
      <c r="J355" s="13" t="s">
        <v>85</v>
      </c>
      <c r="K355" s="13" t="s">
        <v>71</v>
      </c>
      <c r="L355" s="13">
        <v>60.0</v>
      </c>
      <c r="M355" s="13">
        <v>174.0</v>
      </c>
      <c r="N355" s="13" t="s">
        <v>73</v>
      </c>
      <c r="O355" s="13"/>
      <c r="P355" s="13" t="s">
        <v>74</v>
      </c>
      <c r="Q355" s="13"/>
      <c r="R355" s="13" t="s">
        <v>73</v>
      </c>
      <c r="S355" s="13" t="s">
        <v>73</v>
      </c>
      <c r="T355" s="13" t="s">
        <v>73</v>
      </c>
      <c r="U355" s="13" t="s">
        <v>73</v>
      </c>
      <c r="V355" s="13"/>
      <c r="W355" s="13"/>
      <c r="X355" s="13"/>
      <c r="Y355" s="13" t="s">
        <v>73</v>
      </c>
      <c r="Z355" s="13"/>
      <c r="AA355" s="13" t="s">
        <v>75</v>
      </c>
      <c r="AB355" s="89" t="s">
        <v>76</v>
      </c>
      <c r="AC355" s="13" t="s">
        <v>77</v>
      </c>
      <c r="AD355" s="13" t="s">
        <v>78</v>
      </c>
      <c r="AE355" s="13" t="s">
        <v>205</v>
      </c>
      <c r="AF355" s="6" t="s">
        <v>187</v>
      </c>
      <c r="AG355" s="13" t="s">
        <v>81</v>
      </c>
      <c r="AH355" s="13" t="s">
        <v>82</v>
      </c>
      <c r="AI355" s="13"/>
      <c r="AJ355" s="13"/>
      <c r="AK355" s="13"/>
      <c r="AL355" s="13"/>
      <c r="AM355" s="13" t="s">
        <v>1151</v>
      </c>
      <c r="BF355" s="91">
        <v>45504.0</v>
      </c>
      <c r="BG355" s="7" t="s">
        <v>75</v>
      </c>
      <c r="BH355" s="85" t="s">
        <v>1079</v>
      </c>
      <c r="BI355" s="15">
        <f t="shared" si="6"/>
        <v>23</v>
      </c>
      <c r="BJ355" s="15" t="str">
        <f t="shared" si="3"/>
        <v>18-35</v>
      </c>
      <c r="BL355" s="85"/>
      <c r="BM355" s="85"/>
      <c r="BN355" s="13" t="s">
        <v>187</v>
      </c>
    </row>
    <row r="356" ht="15.75" customHeight="1">
      <c r="A356" s="1">
        <v>380.0</v>
      </c>
      <c r="B356" s="2">
        <v>380.0</v>
      </c>
      <c r="C356" s="92">
        <v>45501.752553680555</v>
      </c>
      <c r="D356" s="33" t="s">
        <v>1250</v>
      </c>
      <c r="E356" s="93">
        <v>33099.0</v>
      </c>
      <c r="F356" s="94" t="s">
        <v>67</v>
      </c>
      <c r="G356" s="94" t="s">
        <v>1251</v>
      </c>
      <c r="H356" s="94">
        <v>2.494649707E9</v>
      </c>
      <c r="I356" s="94" t="s">
        <v>92</v>
      </c>
      <c r="J356" s="94" t="s">
        <v>85</v>
      </c>
      <c r="K356" s="94" t="s">
        <v>134</v>
      </c>
      <c r="L356" s="94">
        <v>75.0</v>
      </c>
      <c r="M356" s="94">
        <v>1.65</v>
      </c>
      <c r="N356" s="94" t="s">
        <v>73</v>
      </c>
      <c r="O356" s="94"/>
      <c r="P356" s="94" t="s">
        <v>329</v>
      </c>
      <c r="Q356" s="94"/>
      <c r="R356" s="94" t="s">
        <v>73</v>
      </c>
      <c r="S356" s="94" t="s">
        <v>73</v>
      </c>
      <c r="T356" s="94" t="s">
        <v>73</v>
      </c>
      <c r="U356" s="94" t="s">
        <v>73</v>
      </c>
      <c r="V356" s="94"/>
      <c r="W356" s="94"/>
      <c r="X356" s="94"/>
      <c r="Y356" s="94" t="s">
        <v>73</v>
      </c>
      <c r="Z356" s="94"/>
      <c r="AA356" s="94" t="s">
        <v>73</v>
      </c>
      <c r="AB356" s="121"/>
      <c r="AC356" s="94" t="s">
        <v>82</v>
      </c>
      <c r="AD356" s="94" t="s">
        <v>78</v>
      </c>
      <c r="AE356" s="94" t="s">
        <v>205</v>
      </c>
      <c r="AF356" s="6" t="s">
        <v>80</v>
      </c>
      <c r="AG356" s="94" t="s">
        <v>81</v>
      </c>
      <c r="AH356" s="94" t="s">
        <v>82</v>
      </c>
      <c r="AI356" s="94"/>
      <c r="AJ356" s="94"/>
      <c r="AK356" s="94"/>
      <c r="AL356" s="94"/>
      <c r="AM356" s="94" t="s">
        <v>1189</v>
      </c>
      <c r="BF356" s="14">
        <v>45657.0</v>
      </c>
      <c r="BG356" s="7" t="s">
        <v>73</v>
      </c>
      <c r="BI356" s="15">
        <f t="shared" si="6"/>
        <v>34</v>
      </c>
      <c r="BJ356" s="15" t="str">
        <f t="shared" si="3"/>
        <v>18-35</v>
      </c>
      <c r="BL356" s="85"/>
      <c r="BM356" s="85"/>
      <c r="BN356" s="94" t="s">
        <v>80</v>
      </c>
    </row>
    <row r="357" ht="15.75" customHeight="1">
      <c r="A357" s="1">
        <v>381.0</v>
      </c>
      <c r="B357" s="2">
        <v>381.0</v>
      </c>
      <c r="C357" s="86">
        <v>45501.75257335648</v>
      </c>
      <c r="D357" s="10" t="s">
        <v>1252</v>
      </c>
      <c r="E357" s="87">
        <v>33143.0</v>
      </c>
      <c r="F357" s="13" t="s">
        <v>67</v>
      </c>
      <c r="G357" s="13" t="s">
        <v>1253</v>
      </c>
      <c r="H357" s="13">
        <v>2.494509816E9</v>
      </c>
      <c r="I357" s="13" t="s">
        <v>449</v>
      </c>
      <c r="J357" s="13" t="s">
        <v>85</v>
      </c>
      <c r="K357" s="13" t="s">
        <v>71</v>
      </c>
      <c r="L357" s="13">
        <v>53.0</v>
      </c>
      <c r="M357" s="13">
        <v>164.0</v>
      </c>
      <c r="N357" s="13" t="s">
        <v>73</v>
      </c>
      <c r="O357" s="13"/>
      <c r="P357" s="13" t="s">
        <v>178</v>
      </c>
      <c r="Q357" s="13"/>
      <c r="R357" s="13" t="s">
        <v>73</v>
      </c>
      <c r="S357" s="13" t="s">
        <v>73</v>
      </c>
      <c r="T357" s="13" t="s">
        <v>73</v>
      </c>
      <c r="U357" s="13" t="s">
        <v>73</v>
      </c>
      <c r="V357" s="13"/>
      <c r="W357" s="13"/>
      <c r="X357" s="13"/>
      <c r="Y357" s="13" t="s">
        <v>73</v>
      </c>
      <c r="Z357" s="13"/>
      <c r="AA357" s="13" t="s">
        <v>75</v>
      </c>
      <c r="AB357" s="89" t="s">
        <v>76</v>
      </c>
      <c r="AC357" s="13" t="s">
        <v>77</v>
      </c>
      <c r="AD357" s="13" t="s">
        <v>94</v>
      </c>
      <c r="AE357" s="13" t="s">
        <v>79</v>
      </c>
      <c r="AF357" s="6" t="s">
        <v>80</v>
      </c>
      <c r="AG357" s="13" t="s">
        <v>81</v>
      </c>
      <c r="AH357" s="13" t="s">
        <v>102</v>
      </c>
      <c r="AI357" s="13" t="s">
        <v>956</v>
      </c>
      <c r="AJ357" s="13"/>
      <c r="AK357" s="13"/>
      <c r="AL357" s="13"/>
      <c r="AM357" s="13" t="s">
        <v>1087</v>
      </c>
      <c r="BF357" s="91">
        <v>45504.0</v>
      </c>
      <c r="BG357" s="7" t="s">
        <v>75</v>
      </c>
      <c r="BH357" s="85" t="s">
        <v>1079</v>
      </c>
      <c r="BI357" s="15">
        <f t="shared" si="6"/>
        <v>34</v>
      </c>
      <c r="BJ357" s="15" t="str">
        <f t="shared" si="3"/>
        <v>18-35</v>
      </c>
      <c r="BL357" s="85"/>
      <c r="BM357" s="85"/>
      <c r="BN357" s="13" t="s">
        <v>80</v>
      </c>
    </row>
    <row r="358" ht="15.75" customHeight="1">
      <c r="A358" s="1">
        <v>382.0</v>
      </c>
      <c r="B358" s="2">
        <v>382.0</v>
      </c>
      <c r="C358" s="86">
        <v>45501.85101409722</v>
      </c>
      <c r="D358" s="10" t="s">
        <v>1254</v>
      </c>
      <c r="E358" s="87">
        <v>36715.0</v>
      </c>
      <c r="F358" s="13" t="s">
        <v>67</v>
      </c>
      <c r="G358" s="13" t="s">
        <v>1255</v>
      </c>
      <c r="H358" s="13">
        <v>2.49458701E9</v>
      </c>
      <c r="I358" s="13" t="s">
        <v>92</v>
      </c>
      <c r="J358" s="13" t="s">
        <v>109</v>
      </c>
      <c r="K358" s="13" t="s">
        <v>86</v>
      </c>
      <c r="L358" s="13">
        <v>53.0</v>
      </c>
      <c r="M358" s="13">
        <v>1.69</v>
      </c>
      <c r="N358" s="13" t="s">
        <v>73</v>
      </c>
      <c r="O358" s="13"/>
      <c r="P358" s="13" t="s">
        <v>74</v>
      </c>
      <c r="Q358" s="13"/>
      <c r="R358" s="13" t="s">
        <v>73</v>
      </c>
      <c r="S358" s="13" t="s">
        <v>73</v>
      </c>
      <c r="T358" s="13" t="s">
        <v>73</v>
      </c>
      <c r="U358" s="13" t="s">
        <v>73</v>
      </c>
      <c r="V358" s="13"/>
      <c r="W358" s="13"/>
      <c r="X358" s="13"/>
      <c r="Y358" s="13" t="s">
        <v>73</v>
      </c>
      <c r="Z358" s="13"/>
      <c r="AA358" s="13" t="s">
        <v>73</v>
      </c>
      <c r="AB358" s="96"/>
      <c r="AC358" s="13" t="s">
        <v>77</v>
      </c>
      <c r="AD358" s="13" t="s">
        <v>78</v>
      </c>
      <c r="AE358" s="13" t="s">
        <v>79</v>
      </c>
      <c r="AF358" s="6" t="s">
        <v>80</v>
      </c>
      <c r="AG358" s="13" t="s">
        <v>82</v>
      </c>
      <c r="AH358" s="13" t="s">
        <v>96</v>
      </c>
      <c r="AI358" s="13" t="s">
        <v>970</v>
      </c>
      <c r="AJ358" s="13"/>
      <c r="AK358" s="13"/>
      <c r="AL358" s="13"/>
      <c r="AM358" s="13" t="s">
        <v>1103</v>
      </c>
      <c r="BF358" s="91">
        <v>45502.0</v>
      </c>
      <c r="BG358" s="7" t="s">
        <v>75</v>
      </c>
      <c r="BH358" s="85" t="s">
        <v>1079</v>
      </c>
      <c r="BI358" s="15">
        <f t="shared" si="6"/>
        <v>24</v>
      </c>
      <c r="BJ358" s="15" t="str">
        <f t="shared" si="3"/>
        <v>18-35</v>
      </c>
      <c r="BL358" s="85"/>
      <c r="BM358" s="85"/>
      <c r="BN358" s="13" t="s">
        <v>80</v>
      </c>
    </row>
    <row r="359" ht="15.75" customHeight="1">
      <c r="A359" s="1">
        <v>383.0</v>
      </c>
      <c r="B359" s="2">
        <v>383.0</v>
      </c>
      <c r="C359" s="86">
        <v>45502.50458758102</v>
      </c>
      <c r="D359" s="10" t="s">
        <v>1256</v>
      </c>
      <c r="E359" s="87">
        <v>37335.0</v>
      </c>
      <c r="F359" s="13" t="s">
        <v>67</v>
      </c>
      <c r="G359" s="13" t="s">
        <v>1257</v>
      </c>
      <c r="H359" s="13">
        <v>2.494628703E9</v>
      </c>
      <c r="I359" s="13" t="s">
        <v>449</v>
      </c>
      <c r="J359" s="13" t="s">
        <v>85</v>
      </c>
      <c r="K359" s="13" t="s">
        <v>86</v>
      </c>
      <c r="L359" s="13">
        <v>50.0</v>
      </c>
      <c r="M359" s="13">
        <v>163.0</v>
      </c>
      <c r="N359" s="13" t="s">
        <v>73</v>
      </c>
      <c r="O359" s="13"/>
      <c r="P359" s="13" t="s">
        <v>74</v>
      </c>
      <c r="Q359" s="13"/>
      <c r="R359" s="13" t="s">
        <v>73</v>
      </c>
      <c r="S359" s="13" t="s">
        <v>73</v>
      </c>
      <c r="T359" s="13" t="s">
        <v>73</v>
      </c>
      <c r="U359" s="13" t="s">
        <v>73</v>
      </c>
      <c r="V359" s="13"/>
      <c r="W359" s="13"/>
      <c r="X359" s="13"/>
      <c r="Y359" s="13" t="s">
        <v>73</v>
      </c>
      <c r="Z359" s="13"/>
      <c r="AA359" s="13" t="s">
        <v>75</v>
      </c>
      <c r="AB359" s="89" t="s">
        <v>76</v>
      </c>
      <c r="AC359" s="13" t="s">
        <v>77</v>
      </c>
      <c r="AD359" s="13" t="s">
        <v>78</v>
      </c>
      <c r="AE359" s="13" t="s">
        <v>138</v>
      </c>
      <c r="AF359" s="6" t="s">
        <v>80</v>
      </c>
      <c r="AG359" s="13" t="s">
        <v>81</v>
      </c>
      <c r="AH359" s="13" t="s">
        <v>102</v>
      </c>
      <c r="AI359" s="13" t="s">
        <v>999</v>
      </c>
      <c r="AJ359" s="13"/>
      <c r="AK359" s="13"/>
      <c r="AL359" s="13"/>
      <c r="AM359" s="13" t="s">
        <v>1078</v>
      </c>
      <c r="BF359" s="91">
        <v>45502.0</v>
      </c>
      <c r="BG359" s="7" t="s">
        <v>75</v>
      </c>
      <c r="BH359" s="85" t="s">
        <v>1079</v>
      </c>
      <c r="BI359" s="15">
        <f t="shared" si="6"/>
        <v>22</v>
      </c>
      <c r="BJ359" s="15" t="str">
        <f t="shared" si="3"/>
        <v>18-35</v>
      </c>
      <c r="BL359" s="85"/>
      <c r="BM359" s="85"/>
      <c r="BN359" s="13" t="s">
        <v>80</v>
      </c>
    </row>
    <row r="360" ht="15.75" customHeight="1">
      <c r="A360" s="1">
        <v>384.0</v>
      </c>
      <c r="B360" s="2">
        <v>384.0</v>
      </c>
      <c r="C360" s="86">
        <v>45502.683663194446</v>
      </c>
      <c r="D360" s="10" t="s">
        <v>1258</v>
      </c>
      <c r="E360" s="87">
        <v>25785.0</v>
      </c>
      <c r="F360" s="13" t="s">
        <v>67</v>
      </c>
      <c r="G360" s="13" t="s">
        <v>1259</v>
      </c>
      <c r="H360" s="88" t="s">
        <v>1260</v>
      </c>
      <c r="I360" s="13" t="s">
        <v>449</v>
      </c>
      <c r="J360" s="13" t="s">
        <v>1261</v>
      </c>
      <c r="K360" s="13" t="s">
        <v>86</v>
      </c>
      <c r="L360" s="13">
        <v>60.0</v>
      </c>
      <c r="M360" s="13">
        <v>1.61</v>
      </c>
      <c r="N360" s="13" t="s">
        <v>73</v>
      </c>
      <c r="O360" s="13"/>
      <c r="P360" s="13" t="s">
        <v>74</v>
      </c>
      <c r="Q360" s="13"/>
      <c r="R360" s="13" t="s">
        <v>75</v>
      </c>
      <c r="S360" s="13" t="s">
        <v>73</v>
      </c>
      <c r="T360" s="13" t="s">
        <v>73</v>
      </c>
      <c r="U360" s="13" t="s">
        <v>75</v>
      </c>
      <c r="V360" s="13" t="s">
        <v>1262</v>
      </c>
      <c r="W360" s="13" t="s">
        <v>694</v>
      </c>
      <c r="X360" s="90">
        <v>40763.0</v>
      </c>
      <c r="Y360" s="13" t="s">
        <v>73</v>
      </c>
      <c r="Z360" s="13"/>
      <c r="AA360" s="13" t="s">
        <v>75</v>
      </c>
      <c r="AB360" s="89" t="s">
        <v>76</v>
      </c>
      <c r="AC360" s="13" t="s">
        <v>95</v>
      </c>
      <c r="AD360" s="13" t="s">
        <v>94</v>
      </c>
      <c r="AE360" s="13" t="s">
        <v>131</v>
      </c>
      <c r="AF360" s="6" t="s">
        <v>80</v>
      </c>
      <c r="AG360" s="13" t="s">
        <v>77</v>
      </c>
      <c r="AH360" s="13" t="s">
        <v>77</v>
      </c>
      <c r="AI360" s="13" t="s">
        <v>970</v>
      </c>
      <c r="AJ360" s="13"/>
      <c r="AK360" s="13"/>
      <c r="AL360" s="13"/>
      <c r="AM360" s="13" t="s">
        <v>1128</v>
      </c>
      <c r="BF360" s="91">
        <v>45503.0</v>
      </c>
      <c r="BG360" s="7" t="s">
        <v>75</v>
      </c>
      <c r="BH360" s="85" t="s">
        <v>1079</v>
      </c>
      <c r="BI360" s="15">
        <f t="shared" si="6"/>
        <v>54</v>
      </c>
      <c r="BJ360" s="15" t="str">
        <f t="shared" si="3"/>
        <v>35-55</v>
      </c>
      <c r="BL360" s="85"/>
      <c r="BM360" s="85"/>
      <c r="BN360" s="13" t="s">
        <v>80</v>
      </c>
    </row>
    <row r="361" ht="15.75" customHeight="1">
      <c r="A361" s="1">
        <v>385.0</v>
      </c>
      <c r="B361" s="2">
        <v>385.0</v>
      </c>
      <c r="C361" s="86">
        <v>45502.76205506944</v>
      </c>
      <c r="D361" s="10" t="s">
        <v>1263</v>
      </c>
      <c r="E361" s="87">
        <v>37321.0</v>
      </c>
      <c r="F361" s="13" t="s">
        <v>106</v>
      </c>
      <c r="G361" s="13" t="s">
        <v>1264</v>
      </c>
      <c r="H361" s="13">
        <v>1.149353349E9</v>
      </c>
      <c r="I361" s="13" t="s">
        <v>449</v>
      </c>
      <c r="J361" s="13" t="s">
        <v>85</v>
      </c>
      <c r="K361" s="13" t="s">
        <v>71</v>
      </c>
      <c r="L361" s="13">
        <v>87.0</v>
      </c>
      <c r="M361" s="13">
        <v>185.0</v>
      </c>
      <c r="N361" s="13" t="s">
        <v>73</v>
      </c>
      <c r="O361" s="13"/>
      <c r="P361" s="13" t="s">
        <v>74</v>
      </c>
      <c r="Q361" s="13"/>
      <c r="R361" s="13" t="s">
        <v>73</v>
      </c>
      <c r="S361" s="13" t="s">
        <v>73</v>
      </c>
      <c r="T361" s="13" t="s">
        <v>73</v>
      </c>
      <c r="U361" s="13" t="s">
        <v>75</v>
      </c>
      <c r="V361" s="13" t="s">
        <v>1265</v>
      </c>
      <c r="W361" s="13" t="s">
        <v>694</v>
      </c>
      <c r="X361" s="90">
        <v>45382.0</v>
      </c>
      <c r="Y361" s="13" t="s">
        <v>73</v>
      </c>
      <c r="Z361" s="13"/>
      <c r="AA361" s="13" t="s">
        <v>75</v>
      </c>
      <c r="AB361" s="89" t="s">
        <v>76</v>
      </c>
      <c r="AC361" s="13" t="s">
        <v>102</v>
      </c>
      <c r="AD361" s="13" t="s">
        <v>78</v>
      </c>
      <c r="AE361" s="13" t="s">
        <v>138</v>
      </c>
      <c r="AF361" s="124" t="s">
        <v>80</v>
      </c>
      <c r="AG361" s="13" t="s">
        <v>81</v>
      </c>
      <c r="AH361" s="13" t="s">
        <v>82</v>
      </c>
      <c r="AI361" s="13"/>
      <c r="AJ361" s="13"/>
      <c r="AK361" s="13" t="s">
        <v>918</v>
      </c>
      <c r="AL361" s="13"/>
      <c r="AM361" s="13"/>
      <c r="BF361" s="14">
        <v>45657.0</v>
      </c>
      <c r="BG361" s="7" t="s">
        <v>73</v>
      </c>
      <c r="BH361" s="85" t="s">
        <v>190</v>
      </c>
      <c r="BI361" s="15">
        <f t="shared" si="6"/>
        <v>22</v>
      </c>
      <c r="BJ361" s="15" t="str">
        <f t="shared" si="3"/>
        <v>18-35</v>
      </c>
      <c r="BL361" s="85"/>
      <c r="BM361" s="85"/>
      <c r="BN361" s="13" t="s">
        <v>80</v>
      </c>
    </row>
    <row r="362" ht="15.75" customHeight="1">
      <c r="A362" s="1">
        <v>386.0</v>
      </c>
      <c r="B362" s="2">
        <v>386.0</v>
      </c>
      <c r="C362" s="86">
        <v>45502.786054571756</v>
      </c>
      <c r="D362" s="10" t="s">
        <v>1266</v>
      </c>
      <c r="E362" s="87">
        <v>35977.0</v>
      </c>
      <c r="F362" s="13" t="s">
        <v>67</v>
      </c>
      <c r="G362" s="13" t="s">
        <v>1267</v>
      </c>
      <c r="H362" s="13">
        <v>2.494669892E9</v>
      </c>
      <c r="I362" s="13" t="s">
        <v>449</v>
      </c>
      <c r="J362" s="13" t="s">
        <v>85</v>
      </c>
      <c r="K362" s="13" t="s">
        <v>134</v>
      </c>
      <c r="L362" s="13">
        <v>54.0</v>
      </c>
      <c r="M362" s="13">
        <v>162.0</v>
      </c>
      <c r="N362" s="13" t="s">
        <v>73</v>
      </c>
      <c r="O362" s="13"/>
      <c r="P362" s="13" t="s">
        <v>178</v>
      </c>
      <c r="Q362" s="13"/>
      <c r="R362" s="13" t="s">
        <v>75</v>
      </c>
      <c r="S362" s="13" t="s">
        <v>73</v>
      </c>
      <c r="T362" s="13" t="s">
        <v>73</v>
      </c>
      <c r="U362" s="13" t="s">
        <v>73</v>
      </c>
      <c r="V362" s="13"/>
      <c r="W362" s="13"/>
      <c r="X362" s="13"/>
      <c r="Y362" s="13" t="s">
        <v>73</v>
      </c>
      <c r="Z362" s="13"/>
      <c r="AA362" s="13" t="s">
        <v>75</v>
      </c>
      <c r="AB362" s="89" t="s">
        <v>76</v>
      </c>
      <c r="AC362" s="13" t="s">
        <v>77</v>
      </c>
      <c r="AD362" s="13" t="s">
        <v>94</v>
      </c>
      <c r="AE362" s="13" t="s">
        <v>131</v>
      </c>
      <c r="AF362" s="6" t="s">
        <v>80</v>
      </c>
      <c r="AG362" s="13" t="s">
        <v>95</v>
      </c>
      <c r="AH362" s="13" t="s">
        <v>102</v>
      </c>
      <c r="AI362" s="13" t="s">
        <v>956</v>
      </c>
      <c r="AJ362" s="13"/>
      <c r="AK362" s="13"/>
      <c r="AL362" s="13"/>
      <c r="AM362" s="13" t="s">
        <v>1087</v>
      </c>
      <c r="BF362" s="91">
        <v>45504.0</v>
      </c>
      <c r="BG362" s="7" t="s">
        <v>75</v>
      </c>
      <c r="BH362" s="85" t="s">
        <v>1079</v>
      </c>
      <c r="BI362" s="15">
        <f t="shared" si="6"/>
        <v>26</v>
      </c>
      <c r="BJ362" s="15" t="str">
        <f t="shared" si="3"/>
        <v>18-35</v>
      </c>
      <c r="BL362" s="85"/>
      <c r="BM362" s="85"/>
      <c r="BN362" s="13" t="s">
        <v>80</v>
      </c>
    </row>
    <row r="363" ht="15.75" customHeight="1">
      <c r="A363" s="1">
        <v>387.0</v>
      </c>
      <c r="B363" s="2">
        <v>387.0</v>
      </c>
      <c r="C363" s="86">
        <v>45502.83997561343</v>
      </c>
      <c r="D363" s="10" t="s">
        <v>1268</v>
      </c>
      <c r="E363" s="87">
        <v>36016.0</v>
      </c>
      <c r="F363" s="13" t="s">
        <v>67</v>
      </c>
      <c r="G363" s="13" t="s">
        <v>1269</v>
      </c>
      <c r="H363" s="13">
        <v>2.494013064E9</v>
      </c>
      <c r="I363" s="13" t="s">
        <v>449</v>
      </c>
      <c r="J363" s="13" t="s">
        <v>85</v>
      </c>
      <c r="K363" s="13" t="s">
        <v>71</v>
      </c>
      <c r="L363" s="13">
        <v>68.0</v>
      </c>
      <c r="M363" s="13">
        <v>1.69</v>
      </c>
      <c r="N363" s="13" t="s">
        <v>75</v>
      </c>
      <c r="O363" s="13" t="s">
        <v>1270</v>
      </c>
      <c r="P363" s="13" t="s">
        <v>74</v>
      </c>
      <c r="Q363" s="13"/>
      <c r="R363" s="13" t="s">
        <v>73</v>
      </c>
      <c r="S363" s="13" t="s">
        <v>73</v>
      </c>
      <c r="T363" s="13" t="s">
        <v>73</v>
      </c>
      <c r="U363" s="13" t="s">
        <v>75</v>
      </c>
      <c r="V363" s="13" t="s">
        <v>1271</v>
      </c>
      <c r="W363" s="13" t="s">
        <v>694</v>
      </c>
      <c r="X363" s="90">
        <v>45352.0</v>
      </c>
      <c r="Y363" s="13" t="s">
        <v>73</v>
      </c>
      <c r="Z363" s="13"/>
      <c r="AA363" s="13" t="s">
        <v>75</v>
      </c>
      <c r="AB363" s="89" t="s">
        <v>76</v>
      </c>
      <c r="AC363" s="13" t="s">
        <v>77</v>
      </c>
      <c r="AD363" s="13" t="s">
        <v>94</v>
      </c>
      <c r="AE363" s="13" t="s">
        <v>131</v>
      </c>
      <c r="AF363" s="6" t="s">
        <v>80</v>
      </c>
      <c r="AG363" s="13" t="s">
        <v>95</v>
      </c>
      <c r="AH363" s="13" t="s">
        <v>77</v>
      </c>
      <c r="AI363" s="13" t="s">
        <v>1272</v>
      </c>
      <c r="AJ363" s="13"/>
      <c r="AK363" s="13"/>
      <c r="AL363" s="13"/>
      <c r="AM363" s="13" t="s">
        <v>1128</v>
      </c>
      <c r="BF363" s="91">
        <v>45503.0</v>
      </c>
      <c r="BG363" s="7" t="s">
        <v>75</v>
      </c>
      <c r="BH363" s="85" t="s">
        <v>1079</v>
      </c>
      <c r="BI363" s="15">
        <f t="shared" si="6"/>
        <v>26</v>
      </c>
      <c r="BJ363" s="15" t="str">
        <f t="shared" si="3"/>
        <v>18-35</v>
      </c>
      <c r="BL363" s="85"/>
      <c r="BM363" s="85"/>
      <c r="BN363" s="13" t="s">
        <v>80</v>
      </c>
    </row>
    <row r="364" ht="15.75" customHeight="1">
      <c r="A364" s="1">
        <v>388.0</v>
      </c>
      <c r="B364" s="2">
        <v>388.0</v>
      </c>
      <c r="C364" s="86">
        <v>45502.84803565972</v>
      </c>
      <c r="D364" s="10" t="s">
        <v>1273</v>
      </c>
      <c r="E364" s="87">
        <v>36273.0</v>
      </c>
      <c r="F364" s="13" t="s">
        <v>67</v>
      </c>
      <c r="G364" s="13" t="s">
        <v>1274</v>
      </c>
      <c r="H364" s="13">
        <v>2.494519163E9</v>
      </c>
      <c r="I364" s="13" t="s">
        <v>92</v>
      </c>
      <c r="J364" s="13" t="s">
        <v>109</v>
      </c>
      <c r="K364" s="13" t="s">
        <v>86</v>
      </c>
      <c r="L364" s="13">
        <v>68.0</v>
      </c>
      <c r="M364" s="13">
        <v>172.0</v>
      </c>
      <c r="N364" s="13" t="s">
        <v>73</v>
      </c>
      <c r="O364" s="13"/>
      <c r="P364" s="13" t="s">
        <v>178</v>
      </c>
      <c r="Q364" s="13"/>
      <c r="R364" s="13" t="s">
        <v>75</v>
      </c>
      <c r="S364" s="13" t="s">
        <v>75</v>
      </c>
      <c r="T364" s="13" t="s">
        <v>73</v>
      </c>
      <c r="U364" s="13" t="s">
        <v>73</v>
      </c>
      <c r="V364" s="13"/>
      <c r="W364" s="13"/>
      <c r="X364" s="13"/>
      <c r="Y364" s="13" t="s">
        <v>75</v>
      </c>
      <c r="Z364" s="88" t="s">
        <v>929</v>
      </c>
      <c r="AA364" s="13" t="s">
        <v>75</v>
      </c>
      <c r="AB364" s="89" t="s">
        <v>112</v>
      </c>
      <c r="AC364" s="13" t="s">
        <v>95</v>
      </c>
      <c r="AD364" s="13" t="s">
        <v>94</v>
      </c>
      <c r="AE364" s="13" t="s">
        <v>131</v>
      </c>
      <c r="AF364" s="6" t="s">
        <v>80</v>
      </c>
      <c r="AG364" s="13" t="s">
        <v>95</v>
      </c>
      <c r="AH364" s="13" t="s">
        <v>77</v>
      </c>
      <c r="AI364" s="13" t="s">
        <v>989</v>
      </c>
      <c r="AJ364" s="13"/>
      <c r="AK364" s="13"/>
      <c r="AL364" s="13"/>
      <c r="AM364" s="13" t="s">
        <v>1087</v>
      </c>
      <c r="BF364" s="91">
        <v>45504.0</v>
      </c>
      <c r="BG364" s="7" t="s">
        <v>75</v>
      </c>
      <c r="BH364" s="85" t="s">
        <v>1079</v>
      </c>
      <c r="BI364" s="15">
        <f t="shared" si="6"/>
        <v>25</v>
      </c>
      <c r="BJ364" s="15" t="str">
        <f t="shared" si="3"/>
        <v>18-35</v>
      </c>
      <c r="BL364" s="85"/>
      <c r="BM364" s="85"/>
      <c r="BN364" s="13" t="s">
        <v>80</v>
      </c>
    </row>
    <row r="365" ht="15.75" customHeight="1">
      <c r="A365" s="1">
        <v>389.0</v>
      </c>
      <c r="B365" s="2">
        <v>389.0</v>
      </c>
      <c r="C365" s="92">
        <v>45502.862601967594</v>
      </c>
      <c r="D365" s="33" t="s">
        <v>1275</v>
      </c>
      <c r="E365" s="93">
        <v>36012.0</v>
      </c>
      <c r="F365" s="94" t="s">
        <v>67</v>
      </c>
      <c r="G365" s="94" t="s">
        <v>1276</v>
      </c>
      <c r="H365" s="94">
        <v>2.494637963E9</v>
      </c>
      <c r="I365" s="94" t="s">
        <v>92</v>
      </c>
      <c r="J365" s="94" t="s">
        <v>70</v>
      </c>
      <c r="K365" s="94" t="s">
        <v>166</v>
      </c>
      <c r="L365" s="94">
        <v>65.0</v>
      </c>
      <c r="M365" s="94">
        <v>160.0</v>
      </c>
      <c r="N365" s="94" t="s">
        <v>73</v>
      </c>
      <c r="O365" s="94"/>
      <c r="P365" s="94" t="s">
        <v>329</v>
      </c>
      <c r="Q365" s="94"/>
      <c r="R365" s="94" t="s">
        <v>73</v>
      </c>
      <c r="S365" s="94" t="s">
        <v>73</v>
      </c>
      <c r="T365" s="94" t="s">
        <v>73</v>
      </c>
      <c r="U365" s="94" t="s">
        <v>73</v>
      </c>
      <c r="V365" s="94"/>
      <c r="W365" s="94"/>
      <c r="X365" s="94"/>
      <c r="Y365" s="94" t="s">
        <v>73</v>
      </c>
      <c r="Z365" s="94"/>
      <c r="AA365" s="94" t="s">
        <v>75</v>
      </c>
      <c r="AB365" s="95" t="s">
        <v>76</v>
      </c>
      <c r="AC365" s="94" t="s">
        <v>95</v>
      </c>
      <c r="AD365" s="94" t="s">
        <v>94</v>
      </c>
      <c r="AE365" s="94" t="s">
        <v>131</v>
      </c>
      <c r="AF365" s="6" t="s">
        <v>80</v>
      </c>
      <c r="AG365" s="94" t="s">
        <v>95</v>
      </c>
      <c r="AH365" s="94" t="s">
        <v>77</v>
      </c>
      <c r="AI365" s="94" t="s">
        <v>989</v>
      </c>
      <c r="AJ365" s="94"/>
      <c r="AK365" s="94"/>
      <c r="AL365" s="94"/>
      <c r="AM365" s="94" t="s">
        <v>1087</v>
      </c>
      <c r="BF365" s="14">
        <v>45657.0</v>
      </c>
      <c r="BG365" s="7" t="s">
        <v>73</v>
      </c>
      <c r="BI365" s="15">
        <f t="shared" si="6"/>
        <v>26</v>
      </c>
      <c r="BJ365" s="15" t="str">
        <f t="shared" si="3"/>
        <v>18-35</v>
      </c>
      <c r="BL365" s="85"/>
      <c r="BM365" s="85"/>
      <c r="BN365" s="94" t="s">
        <v>80</v>
      </c>
    </row>
    <row r="366" ht="15.75" customHeight="1">
      <c r="A366" s="1">
        <v>390.0</v>
      </c>
      <c r="B366" s="2">
        <v>390.0</v>
      </c>
      <c r="C366" s="97">
        <v>45502.86274081019</v>
      </c>
      <c r="D366" s="42" t="s">
        <v>1277</v>
      </c>
      <c r="E366" s="98">
        <v>36313.0</v>
      </c>
      <c r="F366" s="81" t="s">
        <v>106</v>
      </c>
      <c r="G366" s="81" t="s">
        <v>1278</v>
      </c>
      <c r="H366" s="81">
        <v>3.777654146E9</v>
      </c>
      <c r="I366" s="81" t="s">
        <v>92</v>
      </c>
      <c r="J366" s="81" t="s">
        <v>70</v>
      </c>
      <c r="K366" s="81" t="s">
        <v>134</v>
      </c>
      <c r="L366" s="81">
        <v>85.0</v>
      </c>
      <c r="M366" s="81">
        <v>185.0</v>
      </c>
      <c r="N366" s="81" t="s">
        <v>73</v>
      </c>
      <c r="O366" s="81"/>
      <c r="P366" s="81" t="s">
        <v>74</v>
      </c>
      <c r="Q366" s="81"/>
      <c r="R366" s="81" t="s">
        <v>73</v>
      </c>
      <c r="S366" s="81" t="s">
        <v>73</v>
      </c>
      <c r="T366" s="81" t="s">
        <v>73</v>
      </c>
      <c r="U366" s="81" t="s">
        <v>73</v>
      </c>
      <c r="V366" s="81"/>
      <c r="W366" s="81"/>
      <c r="X366" s="81"/>
      <c r="Y366" s="81" t="s">
        <v>73</v>
      </c>
      <c r="Z366" s="81"/>
      <c r="AA366" s="81" t="s">
        <v>75</v>
      </c>
      <c r="AB366" s="100" t="s">
        <v>112</v>
      </c>
      <c r="AC366" s="81" t="s">
        <v>102</v>
      </c>
      <c r="AD366" s="81" t="s">
        <v>78</v>
      </c>
      <c r="AE366" s="81" t="s">
        <v>205</v>
      </c>
      <c r="AF366" s="6"/>
      <c r="AG366" s="81" t="s">
        <v>77</v>
      </c>
      <c r="AH366" s="81" t="s">
        <v>82</v>
      </c>
      <c r="AI366" s="81"/>
      <c r="AJ366" s="81"/>
      <c r="AK366" s="81" t="s">
        <v>912</v>
      </c>
      <c r="AL366" s="81"/>
      <c r="AM366" s="81"/>
      <c r="BF366" s="14">
        <v>45657.0</v>
      </c>
      <c r="BG366" s="7" t="s">
        <v>73</v>
      </c>
      <c r="BI366" s="15">
        <f t="shared" si="6"/>
        <v>25</v>
      </c>
      <c r="BJ366" s="15" t="str">
        <f t="shared" si="3"/>
        <v>18-35</v>
      </c>
      <c r="BL366" s="85"/>
      <c r="BM366" s="85"/>
      <c r="BN366" s="117"/>
    </row>
    <row r="367" ht="15.75" customHeight="1">
      <c r="A367" s="1">
        <v>391.0</v>
      </c>
      <c r="B367" s="2">
        <v>391.0</v>
      </c>
      <c r="C367" s="115">
        <v>45502.87444287037</v>
      </c>
      <c r="D367" s="18" t="s">
        <v>1279</v>
      </c>
      <c r="E367" s="116">
        <v>37348.0</v>
      </c>
      <c r="F367" s="117" t="s">
        <v>67</v>
      </c>
      <c r="G367" s="117" t="s">
        <v>1280</v>
      </c>
      <c r="H367" s="117">
        <v>2.98349164E9</v>
      </c>
      <c r="I367" s="117" t="s">
        <v>449</v>
      </c>
      <c r="J367" s="117" t="s">
        <v>85</v>
      </c>
      <c r="K367" s="117" t="s">
        <v>86</v>
      </c>
      <c r="L367" s="117">
        <v>98.0</v>
      </c>
      <c r="M367" s="117">
        <v>165.0</v>
      </c>
      <c r="N367" s="117" t="s">
        <v>75</v>
      </c>
      <c r="O367" s="117" t="s">
        <v>403</v>
      </c>
      <c r="P367" s="117" t="s">
        <v>74</v>
      </c>
      <c r="Q367" s="117"/>
      <c r="R367" s="117" t="s">
        <v>73</v>
      </c>
      <c r="S367" s="117" t="s">
        <v>73</v>
      </c>
      <c r="T367" s="117" t="s">
        <v>73</v>
      </c>
      <c r="U367" s="117" t="s">
        <v>75</v>
      </c>
      <c r="V367" s="117" t="s">
        <v>202</v>
      </c>
      <c r="W367" s="117" t="s">
        <v>694</v>
      </c>
      <c r="X367" s="125">
        <v>44256.0</v>
      </c>
      <c r="Y367" s="117" t="s">
        <v>75</v>
      </c>
      <c r="Z367" s="126" t="s">
        <v>929</v>
      </c>
      <c r="AA367" s="117" t="s">
        <v>75</v>
      </c>
      <c r="AB367" s="127" t="s">
        <v>76</v>
      </c>
      <c r="AC367" s="117" t="s">
        <v>102</v>
      </c>
      <c r="AD367" s="117" t="s">
        <v>78</v>
      </c>
      <c r="AE367" s="117" t="s">
        <v>138</v>
      </c>
      <c r="AF367" s="6" t="s">
        <v>80</v>
      </c>
      <c r="AG367" s="117" t="s">
        <v>81</v>
      </c>
      <c r="AH367" s="117" t="s">
        <v>77</v>
      </c>
      <c r="AI367" s="117" t="s">
        <v>1281</v>
      </c>
      <c r="AJ367" s="117"/>
      <c r="AK367" s="117" t="s">
        <v>931</v>
      </c>
      <c r="AL367" s="117"/>
      <c r="AM367" s="117"/>
      <c r="BF367" s="14">
        <v>45657.0</v>
      </c>
      <c r="BG367" s="7" t="s">
        <v>73</v>
      </c>
      <c r="BI367" s="15">
        <f t="shared" si="6"/>
        <v>22</v>
      </c>
      <c r="BJ367" s="15" t="str">
        <f t="shared" si="3"/>
        <v>18-35</v>
      </c>
      <c r="BL367" s="85"/>
      <c r="BM367" s="85"/>
      <c r="BN367" s="117" t="s">
        <v>80</v>
      </c>
    </row>
    <row r="368" ht="15.75" customHeight="1">
      <c r="A368" s="1">
        <v>392.0</v>
      </c>
      <c r="B368" s="2">
        <v>392.0</v>
      </c>
      <c r="C368" s="86">
        <v>45502.91078251158</v>
      </c>
      <c r="D368" s="10" t="s">
        <v>1282</v>
      </c>
      <c r="E368" s="87">
        <v>35320.0</v>
      </c>
      <c r="F368" s="13" t="s">
        <v>67</v>
      </c>
      <c r="G368" s="13" t="s">
        <v>1283</v>
      </c>
      <c r="H368" s="13">
        <v>2.494538812E9</v>
      </c>
      <c r="I368" s="13" t="s">
        <v>92</v>
      </c>
      <c r="J368" s="13" t="s">
        <v>85</v>
      </c>
      <c r="K368" s="13" t="s">
        <v>86</v>
      </c>
      <c r="L368" s="13">
        <v>54.0</v>
      </c>
      <c r="M368" s="13">
        <v>161.0</v>
      </c>
      <c r="N368" s="13" t="s">
        <v>73</v>
      </c>
      <c r="O368" s="13"/>
      <c r="P368" s="13" t="s">
        <v>74</v>
      </c>
      <c r="Q368" s="13"/>
      <c r="R368" s="13" t="s">
        <v>75</v>
      </c>
      <c r="S368" s="13" t="s">
        <v>73</v>
      </c>
      <c r="T368" s="13" t="s">
        <v>73</v>
      </c>
      <c r="U368" s="13" t="s">
        <v>73</v>
      </c>
      <c r="V368" s="13"/>
      <c r="W368" s="13"/>
      <c r="X368" s="13"/>
      <c r="Y368" s="13" t="s">
        <v>73</v>
      </c>
      <c r="Z368" s="13"/>
      <c r="AA368" s="13" t="s">
        <v>75</v>
      </c>
      <c r="AB368" s="89" t="s">
        <v>76</v>
      </c>
      <c r="AC368" s="13" t="s">
        <v>77</v>
      </c>
      <c r="AD368" s="13" t="s">
        <v>78</v>
      </c>
      <c r="AE368" s="13" t="s">
        <v>79</v>
      </c>
      <c r="AF368" s="6" t="s">
        <v>80</v>
      </c>
      <c r="AG368" s="13" t="s">
        <v>95</v>
      </c>
      <c r="AH368" s="13" t="s">
        <v>77</v>
      </c>
      <c r="AI368" s="13" t="s">
        <v>951</v>
      </c>
      <c r="AJ368" s="13"/>
      <c r="AK368" s="13"/>
      <c r="AL368" s="13"/>
      <c r="AM368" s="13" t="s">
        <v>1087</v>
      </c>
      <c r="BF368" s="91">
        <v>45504.0</v>
      </c>
      <c r="BG368" s="7" t="s">
        <v>75</v>
      </c>
      <c r="BH368" s="85" t="s">
        <v>1079</v>
      </c>
      <c r="BI368" s="15">
        <f t="shared" si="6"/>
        <v>28</v>
      </c>
      <c r="BJ368" s="15" t="str">
        <f t="shared" si="3"/>
        <v>18-35</v>
      </c>
      <c r="BL368" s="85"/>
      <c r="BM368" s="85"/>
      <c r="BN368" s="13" t="s">
        <v>80</v>
      </c>
    </row>
    <row r="369" ht="15.75" customHeight="1">
      <c r="A369" s="1">
        <v>393.0</v>
      </c>
      <c r="B369" s="2">
        <v>393.0</v>
      </c>
      <c r="C369" s="86">
        <v>45503.00190268518</v>
      </c>
      <c r="D369" s="10" t="s">
        <v>1284</v>
      </c>
      <c r="E369" s="87">
        <v>37322.0</v>
      </c>
      <c r="F369" s="13" t="s">
        <v>67</v>
      </c>
      <c r="G369" s="13" t="s">
        <v>1285</v>
      </c>
      <c r="H369" s="13">
        <v>1.125589946E9</v>
      </c>
      <c r="I369" s="13" t="s">
        <v>92</v>
      </c>
      <c r="J369" s="13" t="s">
        <v>109</v>
      </c>
      <c r="K369" s="13" t="s">
        <v>71</v>
      </c>
      <c r="L369" s="13">
        <v>62.0</v>
      </c>
      <c r="M369" s="13">
        <v>158.0</v>
      </c>
      <c r="N369" s="13" t="s">
        <v>73</v>
      </c>
      <c r="O369" s="13"/>
      <c r="P369" s="13" t="s">
        <v>74</v>
      </c>
      <c r="Q369" s="13"/>
      <c r="R369" s="13" t="s">
        <v>73</v>
      </c>
      <c r="S369" s="13" t="s">
        <v>73</v>
      </c>
      <c r="T369" s="13" t="s">
        <v>73</v>
      </c>
      <c r="U369" s="13" t="s">
        <v>75</v>
      </c>
      <c r="V369" s="13" t="s">
        <v>1286</v>
      </c>
      <c r="W369" s="13" t="s">
        <v>694</v>
      </c>
      <c r="X369" s="90">
        <v>44716.0</v>
      </c>
      <c r="Y369" s="13" t="s">
        <v>73</v>
      </c>
      <c r="Z369" s="13"/>
      <c r="AA369" s="13" t="s">
        <v>73</v>
      </c>
      <c r="AB369" s="96"/>
      <c r="AC369" s="13" t="s">
        <v>77</v>
      </c>
      <c r="AD369" s="13" t="s">
        <v>78</v>
      </c>
      <c r="AE369" s="13" t="s">
        <v>113</v>
      </c>
      <c r="AF369" s="6"/>
      <c r="AG369" s="13" t="s">
        <v>81</v>
      </c>
      <c r="AH369" s="13" t="s">
        <v>102</v>
      </c>
      <c r="AI369" s="13" t="s">
        <v>989</v>
      </c>
      <c r="AJ369" s="13"/>
      <c r="AK369" s="13" t="s">
        <v>918</v>
      </c>
      <c r="AL369" s="13"/>
      <c r="AM369" s="13"/>
      <c r="BF369" s="91">
        <v>45505.0</v>
      </c>
      <c r="BG369" s="7" t="s">
        <v>75</v>
      </c>
      <c r="BH369" s="85" t="s">
        <v>190</v>
      </c>
      <c r="BI369" s="15">
        <f t="shared" si="6"/>
        <v>22</v>
      </c>
      <c r="BJ369" s="15" t="str">
        <f t="shared" si="3"/>
        <v>18-35</v>
      </c>
      <c r="BL369" s="85"/>
      <c r="BM369" s="85"/>
      <c r="BN369" s="13" t="s">
        <v>80</v>
      </c>
    </row>
    <row r="370" ht="15.75" customHeight="1">
      <c r="A370" s="1">
        <v>394.0</v>
      </c>
      <c r="B370" s="2">
        <v>394.0</v>
      </c>
      <c r="C370" s="115">
        <v>45503.65496534722</v>
      </c>
      <c r="D370" s="18" t="s">
        <v>1287</v>
      </c>
      <c r="E370" s="116">
        <v>35873.0</v>
      </c>
      <c r="F370" s="117" t="s">
        <v>67</v>
      </c>
      <c r="G370" s="117" t="s">
        <v>1288</v>
      </c>
      <c r="H370" s="117">
        <v>1.141798194E9</v>
      </c>
      <c r="I370" s="117" t="s">
        <v>92</v>
      </c>
      <c r="J370" s="117" t="s">
        <v>146</v>
      </c>
      <c r="K370" s="117" t="s">
        <v>71</v>
      </c>
      <c r="L370" s="117">
        <v>65.0</v>
      </c>
      <c r="M370" s="117">
        <v>1.67</v>
      </c>
      <c r="N370" s="117" t="s">
        <v>73</v>
      </c>
      <c r="O370" s="117"/>
      <c r="P370" s="117" t="s">
        <v>74</v>
      </c>
      <c r="Q370" s="117"/>
      <c r="R370" s="117" t="s">
        <v>73</v>
      </c>
      <c r="S370" s="117" t="s">
        <v>73</v>
      </c>
      <c r="T370" s="117" t="s">
        <v>73</v>
      </c>
      <c r="U370" s="117" t="s">
        <v>73</v>
      </c>
      <c r="V370" s="117"/>
      <c r="W370" s="117"/>
      <c r="X370" s="117"/>
      <c r="Y370" s="117" t="s">
        <v>73</v>
      </c>
      <c r="Z370" s="117"/>
      <c r="AA370" s="117" t="s">
        <v>75</v>
      </c>
      <c r="AB370" s="127" t="s">
        <v>76</v>
      </c>
      <c r="AC370" s="117" t="s">
        <v>77</v>
      </c>
      <c r="AD370" s="117" t="s">
        <v>94</v>
      </c>
      <c r="AE370" s="117" t="s">
        <v>131</v>
      </c>
      <c r="AF370" s="6" t="s">
        <v>80</v>
      </c>
      <c r="AG370" s="117" t="s">
        <v>95</v>
      </c>
      <c r="AH370" s="117" t="s">
        <v>77</v>
      </c>
      <c r="AI370" s="117" t="s">
        <v>1289</v>
      </c>
      <c r="AJ370" s="117"/>
      <c r="AK370" s="117" t="s">
        <v>931</v>
      </c>
      <c r="AL370" s="117"/>
      <c r="AM370" s="117"/>
      <c r="BF370" s="14">
        <v>45657.0</v>
      </c>
      <c r="BG370" s="7" t="s">
        <v>73</v>
      </c>
      <c r="BI370" s="15">
        <f t="shared" si="6"/>
        <v>26</v>
      </c>
      <c r="BJ370" s="15" t="str">
        <f t="shared" si="3"/>
        <v>18-35</v>
      </c>
      <c r="BL370" s="85"/>
      <c r="BM370" s="85"/>
      <c r="BN370" s="117" t="s">
        <v>80</v>
      </c>
    </row>
    <row r="371" ht="15.75" customHeight="1">
      <c r="A371" s="1">
        <v>395.0</v>
      </c>
      <c r="B371" s="2">
        <v>395.0</v>
      </c>
      <c r="C371" s="86">
        <v>45503.66029231482</v>
      </c>
      <c r="D371" s="10" t="s">
        <v>1290</v>
      </c>
      <c r="E371" s="87">
        <v>36041.0</v>
      </c>
      <c r="F371" s="13" t="s">
        <v>67</v>
      </c>
      <c r="G371" s="13" t="s">
        <v>1291</v>
      </c>
      <c r="H371" s="13">
        <v>2.494208531E9</v>
      </c>
      <c r="I371" s="13" t="s">
        <v>92</v>
      </c>
      <c r="J371" s="13" t="s">
        <v>70</v>
      </c>
      <c r="K371" s="13" t="s">
        <v>71</v>
      </c>
      <c r="L371" s="13">
        <v>75.0</v>
      </c>
      <c r="M371" s="13">
        <v>1.6</v>
      </c>
      <c r="N371" s="13" t="s">
        <v>73</v>
      </c>
      <c r="O371" s="13"/>
      <c r="P371" s="13" t="s">
        <v>178</v>
      </c>
      <c r="Q371" s="13"/>
      <c r="R371" s="13" t="s">
        <v>73</v>
      </c>
      <c r="S371" s="13" t="s">
        <v>73</v>
      </c>
      <c r="T371" s="13" t="s">
        <v>73</v>
      </c>
      <c r="U371" s="13" t="s">
        <v>73</v>
      </c>
      <c r="V371" s="13"/>
      <c r="W371" s="13"/>
      <c r="X371" s="13"/>
      <c r="Y371" s="13" t="s">
        <v>73</v>
      </c>
      <c r="Z371" s="13"/>
      <c r="AA371" s="13" t="s">
        <v>75</v>
      </c>
      <c r="AB371" s="89" t="s">
        <v>76</v>
      </c>
      <c r="AC371" s="13" t="s">
        <v>77</v>
      </c>
      <c r="AD371" s="13" t="s">
        <v>94</v>
      </c>
      <c r="AE371" s="13" t="s">
        <v>205</v>
      </c>
      <c r="AF371" s="6" t="s">
        <v>187</v>
      </c>
      <c r="AG371" s="13" t="s">
        <v>77</v>
      </c>
      <c r="AH371" s="13" t="s">
        <v>77</v>
      </c>
      <c r="AI371" s="13" t="s">
        <v>911</v>
      </c>
      <c r="AJ371" s="13"/>
      <c r="AK371" s="13"/>
      <c r="AL371" s="13"/>
      <c r="AM371" s="13" t="s">
        <v>1292</v>
      </c>
      <c r="BF371" s="14">
        <v>45657.0</v>
      </c>
      <c r="BG371" s="7" t="s">
        <v>75</v>
      </c>
      <c r="BH371" s="85" t="s">
        <v>1079</v>
      </c>
      <c r="BI371" s="15">
        <f t="shared" si="6"/>
        <v>26</v>
      </c>
      <c r="BJ371" s="15" t="str">
        <f t="shared" si="3"/>
        <v>18-35</v>
      </c>
      <c r="BL371" s="85"/>
      <c r="BM371" s="85"/>
      <c r="BN371" s="13" t="s">
        <v>187</v>
      </c>
    </row>
    <row r="372" ht="15.75" customHeight="1">
      <c r="A372" s="1">
        <v>396.0</v>
      </c>
      <c r="B372" s="2">
        <v>396.0</v>
      </c>
      <c r="C372" s="128">
        <v>45503.7334189699</v>
      </c>
      <c r="D372" s="129" t="s">
        <v>1293</v>
      </c>
      <c r="E372" s="130">
        <v>35136.0</v>
      </c>
      <c r="F372" s="131" t="s">
        <v>67</v>
      </c>
      <c r="G372" s="131" t="s">
        <v>1294</v>
      </c>
      <c r="H372" s="131">
        <v>1.156615945E9</v>
      </c>
      <c r="I372" s="131" t="s">
        <v>92</v>
      </c>
      <c r="J372" s="131" t="s">
        <v>109</v>
      </c>
      <c r="K372" s="131" t="s">
        <v>71</v>
      </c>
      <c r="L372" s="131">
        <v>55.0</v>
      </c>
      <c r="M372" s="131">
        <v>1.6</v>
      </c>
      <c r="N372" s="131" t="s">
        <v>75</v>
      </c>
      <c r="O372" s="131" t="s">
        <v>1295</v>
      </c>
      <c r="P372" s="131" t="s">
        <v>178</v>
      </c>
      <c r="Q372" s="131"/>
      <c r="R372" s="131" t="s">
        <v>73</v>
      </c>
      <c r="S372" s="131" t="s">
        <v>73</v>
      </c>
      <c r="T372" s="131" t="s">
        <v>73</v>
      </c>
      <c r="U372" s="131" t="s">
        <v>75</v>
      </c>
      <c r="V372" s="131" t="s">
        <v>1296</v>
      </c>
      <c r="W372" s="131" t="s">
        <v>694</v>
      </c>
      <c r="X372" s="132">
        <v>45422.0</v>
      </c>
      <c r="Y372" s="131" t="s">
        <v>73</v>
      </c>
      <c r="Z372" s="131"/>
      <c r="AA372" s="131" t="s">
        <v>75</v>
      </c>
      <c r="AB372" s="133" t="s">
        <v>76</v>
      </c>
      <c r="AC372" s="131" t="s">
        <v>77</v>
      </c>
      <c r="AD372" s="131" t="s">
        <v>78</v>
      </c>
      <c r="AE372" s="131" t="s">
        <v>113</v>
      </c>
      <c r="AF372" s="6" t="s">
        <v>187</v>
      </c>
      <c r="AG372" s="131" t="s">
        <v>81</v>
      </c>
      <c r="AH372" s="131" t="s">
        <v>96</v>
      </c>
      <c r="AI372" s="131" t="s">
        <v>956</v>
      </c>
      <c r="AJ372" s="131"/>
      <c r="AK372" s="131" t="s">
        <v>931</v>
      </c>
      <c r="AL372" s="131"/>
      <c r="AM372" s="131"/>
      <c r="BF372" s="14">
        <v>45657.0</v>
      </c>
      <c r="BG372" s="7" t="s">
        <v>73</v>
      </c>
      <c r="BI372" s="15">
        <f t="shared" si="6"/>
        <v>28</v>
      </c>
      <c r="BJ372" s="15" t="str">
        <f t="shared" si="3"/>
        <v>18-35</v>
      </c>
      <c r="BL372" s="85"/>
      <c r="BM372" s="85"/>
      <c r="BN372" s="131" t="s">
        <v>187</v>
      </c>
    </row>
    <row r="373" ht="15.75" customHeight="1">
      <c r="A373" s="1">
        <v>397.0</v>
      </c>
      <c r="B373" s="2">
        <v>397.0</v>
      </c>
      <c r="C373" s="86">
        <v>45504.44375530093</v>
      </c>
      <c r="D373" s="10" t="s">
        <v>1297</v>
      </c>
      <c r="E373" s="87">
        <v>31926.0</v>
      </c>
      <c r="F373" s="13" t="s">
        <v>67</v>
      </c>
      <c r="G373" s="13" t="s">
        <v>1298</v>
      </c>
      <c r="H373" s="13">
        <v>2.494530858E9</v>
      </c>
      <c r="I373" s="13" t="s">
        <v>92</v>
      </c>
      <c r="J373" s="13" t="s">
        <v>85</v>
      </c>
      <c r="K373" s="13" t="s">
        <v>86</v>
      </c>
      <c r="L373" s="13">
        <v>70.0</v>
      </c>
      <c r="M373" s="13">
        <v>1.65</v>
      </c>
      <c r="N373" s="13" t="s">
        <v>73</v>
      </c>
      <c r="O373" s="13"/>
      <c r="P373" s="13" t="s">
        <v>74</v>
      </c>
      <c r="Q373" s="13"/>
      <c r="R373" s="13" t="s">
        <v>73</v>
      </c>
      <c r="S373" s="13" t="s">
        <v>73</v>
      </c>
      <c r="T373" s="13" t="s">
        <v>73</v>
      </c>
      <c r="U373" s="13" t="s">
        <v>73</v>
      </c>
      <c r="V373" s="13"/>
      <c r="W373" s="13"/>
      <c r="X373" s="13"/>
      <c r="Y373" s="13" t="s">
        <v>73</v>
      </c>
      <c r="Z373" s="13"/>
      <c r="AA373" s="13" t="s">
        <v>75</v>
      </c>
      <c r="AB373" s="89" t="s">
        <v>76</v>
      </c>
      <c r="AC373" s="13" t="s">
        <v>95</v>
      </c>
      <c r="AD373" s="13" t="s">
        <v>94</v>
      </c>
      <c r="AE373" s="13" t="s">
        <v>131</v>
      </c>
      <c r="AF373" s="6" t="s">
        <v>80</v>
      </c>
      <c r="AG373" s="13" t="s">
        <v>95</v>
      </c>
      <c r="AH373" s="13" t="s">
        <v>82</v>
      </c>
      <c r="AI373" s="13"/>
      <c r="AJ373" s="13"/>
      <c r="AK373" s="13"/>
      <c r="AL373" s="13"/>
      <c r="AM373" s="13" t="s">
        <v>1292</v>
      </c>
      <c r="BF373" s="14">
        <v>45657.0</v>
      </c>
      <c r="BG373" s="7" t="s">
        <v>75</v>
      </c>
      <c r="BH373" s="85" t="s">
        <v>1079</v>
      </c>
      <c r="BI373" s="15">
        <f t="shared" si="6"/>
        <v>37</v>
      </c>
      <c r="BJ373" s="15" t="str">
        <f t="shared" si="3"/>
        <v>35-55</v>
      </c>
      <c r="BL373" s="85"/>
      <c r="BM373" s="85"/>
      <c r="BN373" s="13" t="s">
        <v>80</v>
      </c>
    </row>
    <row r="374" ht="15.75" customHeight="1">
      <c r="A374" s="1">
        <v>398.0</v>
      </c>
      <c r="B374" s="2">
        <v>398.0</v>
      </c>
      <c r="C374" s="86">
        <v>45504.454427523146</v>
      </c>
      <c r="D374" s="10" t="s">
        <v>1299</v>
      </c>
      <c r="E374" s="87">
        <v>37728.0</v>
      </c>
      <c r="F374" s="13" t="s">
        <v>67</v>
      </c>
      <c r="G374" s="13" t="s">
        <v>1300</v>
      </c>
      <c r="H374" s="13">
        <v>2.494270903E9</v>
      </c>
      <c r="I374" s="13" t="s">
        <v>69</v>
      </c>
      <c r="J374" s="13" t="s">
        <v>146</v>
      </c>
      <c r="K374" s="13" t="s">
        <v>71</v>
      </c>
      <c r="L374" s="13">
        <v>65.0</v>
      </c>
      <c r="M374" s="13">
        <v>170.0</v>
      </c>
      <c r="N374" s="13" t="s">
        <v>73</v>
      </c>
      <c r="O374" s="13"/>
      <c r="P374" s="13" t="s">
        <v>74</v>
      </c>
      <c r="Q374" s="13"/>
      <c r="R374" s="13" t="s">
        <v>73</v>
      </c>
      <c r="S374" s="13" t="s">
        <v>73</v>
      </c>
      <c r="T374" s="13" t="s">
        <v>73</v>
      </c>
      <c r="U374" s="13" t="s">
        <v>73</v>
      </c>
      <c r="V374" s="13"/>
      <c r="W374" s="13"/>
      <c r="X374" s="13"/>
      <c r="Y374" s="13" t="s">
        <v>73</v>
      </c>
      <c r="Z374" s="13"/>
      <c r="AA374" s="13" t="s">
        <v>75</v>
      </c>
      <c r="AB374" s="89" t="s">
        <v>76</v>
      </c>
      <c r="AC374" s="13" t="s">
        <v>102</v>
      </c>
      <c r="AD374" s="13" t="s">
        <v>78</v>
      </c>
      <c r="AE374" s="13" t="s">
        <v>138</v>
      </c>
      <c r="AF374" s="6" t="s">
        <v>187</v>
      </c>
      <c r="AG374" s="13" t="s">
        <v>81</v>
      </c>
      <c r="AH374" s="13" t="s">
        <v>82</v>
      </c>
      <c r="AI374" s="13"/>
      <c r="AJ374" s="13"/>
      <c r="AK374" s="13"/>
      <c r="AL374" s="13"/>
      <c r="AM374" s="13" t="s">
        <v>1083</v>
      </c>
      <c r="BF374" s="14">
        <v>45657.0</v>
      </c>
      <c r="BG374" s="7" t="s">
        <v>75</v>
      </c>
      <c r="BH374" s="85" t="s">
        <v>190</v>
      </c>
      <c r="BI374" s="15">
        <f t="shared" si="6"/>
        <v>21</v>
      </c>
      <c r="BJ374" s="15" t="str">
        <f t="shared" si="3"/>
        <v>18-35</v>
      </c>
      <c r="BL374" s="85"/>
      <c r="BM374" s="85"/>
      <c r="BN374" s="13" t="s">
        <v>187</v>
      </c>
    </row>
    <row r="375" ht="15.75" customHeight="1">
      <c r="A375" s="1">
        <v>399.0</v>
      </c>
      <c r="B375" s="2">
        <v>399.0</v>
      </c>
      <c r="C375" s="92">
        <v>45504.5403665162</v>
      </c>
      <c r="D375" s="33" t="s">
        <v>1301</v>
      </c>
      <c r="E375" s="93">
        <v>37611.0</v>
      </c>
      <c r="F375" s="94" t="s">
        <v>67</v>
      </c>
      <c r="G375" s="94" t="s">
        <v>1302</v>
      </c>
      <c r="H375" s="94">
        <v>1.173628E9</v>
      </c>
      <c r="I375" s="94" t="s">
        <v>92</v>
      </c>
      <c r="J375" s="94" t="s">
        <v>146</v>
      </c>
      <c r="K375" s="94" t="s">
        <v>166</v>
      </c>
      <c r="L375" s="94">
        <v>58.0</v>
      </c>
      <c r="M375" s="94">
        <v>164.0</v>
      </c>
      <c r="N375" s="94" t="s">
        <v>73</v>
      </c>
      <c r="O375" s="94"/>
      <c r="P375" s="94" t="s">
        <v>329</v>
      </c>
      <c r="Q375" s="94"/>
      <c r="R375" s="94" t="s">
        <v>73</v>
      </c>
      <c r="S375" s="94" t="s">
        <v>73</v>
      </c>
      <c r="T375" s="94" t="s">
        <v>73</v>
      </c>
      <c r="U375" s="94" t="s">
        <v>73</v>
      </c>
      <c r="V375" s="94"/>
      <c r="W375" s="94"/>
      <c r="X375" s="94"/>
      <c r="Y375" s="94" t="s">
        <v>73</v>
      </c>
      <c r="Z375" s="94"/>
      <c r="AA375" s="94" t="s">
        <v>75</v>
      </c>
      <c r="AB375" s="121"/>
      <c r="AC375" s="94" t="s">
        <v>77</v>
      </c>
      <c r="AD375" s="94" t="s">
        <v>506</v>
      </c>
      <c r="AE375" s="94" t="s">
        <v>79</v>
      </c>
      <c r="AF375" s="6" t="s">
        <v>80</v>
      </c>
      <c r="AG375" s="94" t="s">
        <v>81</v>
      </c>
      <c r="AH375" s="94" t="s">
        <v>102</v>
      </c>
      <c r="AI375" s="94" t="s">
        <v>1303</v>
      </c>
      <c r="AJ375" s="94"/>
      <c r="AK375" s="94" t="s">
        <v>918</v>
      </c>
      <c r="AL375" s="94"/>
      <c r="AM375" s="94"/>
      <c r="BF375" s="14">
        <v>45657.0</v>
      </c>
      <c r="BG375" s="7" t="s">
        <v>73</v>
      </c>
      <c r="BI375" s="15">
        <f t="shared" si="6"/>
        <v>22</v>
      </c>
      <c r="BJ375" s="15" t="str">
        <f t="shared" si="3"/>
        <v>18-35</v>
      </c>
      <c r="BL375" s="85"/>
      <c r="BM375" s="85"/>
      <c r="BN375" s="94" t="s">
        <v>80</v>
      </c>
    </row>
    <row r="376" ht="15.75" customHeight="1">
      <c r="A376" s="1">
        <v>400.0</v>
      </c>
      <c r="B376" s="66">
        <v>400.0</v>
      </c>
      <c r="C376" s="97">
        <v>45504.69101436343</v>
      </c>
      <c r="D376" s="42" t="s">
        <v>1304</v>
      </c>
      <c r="E376" s="98">
        <v>28447.0</v>
      </c>
      <c r="F376" s="81" t="s">
        <v>67</v>
      </c>
      <c r="G376" s="81" t="s">
        <v>1305</v>
      </c>
      <c r="H376" s="81">
        <v>1.169008952E9</v>
      </c>
      <c r="I376" s="81" t="s">
        <v>69</v>
      </c>
      <c r="J376" s="81" t="s">
        <v>146</v>
      </c>
      <c r="K376" s="81" t="s">
        <v>71</v>
      </c>
      <c r="L376" s="81">
        <v>61.0</v>
      </c>
      <c r="M376" s="81">
        <v>167.0</v>
      </c>
      <c r="N376" s="81" t="s">
        <v>73</v>
      </c>
      <c r="O376" s="81"/>
      <c r="P376" s="81" t="s">
        <v>74</v>
      </c>
      <c r="Q376" s="81"/>
      <c r="R376" s="81" t="s">
        <v>73</v>
      </c>
      <c r="S376" s="81" t="s">
        <v>73</v>
      </c>
      <c r="T376" s="81" t="s">
        <v>73</v>
      </c>
      <c r="U376" s="81" t="s">
        <v>75</v>
      </c>
      <c r="V376" s="81" t="s">
        <v>1306</v>
      </c>
      <c r="W376" s="81" t="s">
        <v>694</v>
      </c>
      <c r="X376" s="134">
        <v>45444.0</v>
      </c>
      <c r="Y376" s="81" t="s">
        <v>73</v>
      </c>
      <c r="Z376" s="81"/>
      <c r="AA376" s="81" t="s">
        <v>73</v>
      </c>
      <c r="AB376" s="135"/>
      <c r="AC376" s="81" t="s">
        <v>77</v>
      </c>
      <c r="AD376" s="81" t="s">
        <v>94</v>
      </c>
      <c r="AE376" s="81" t="s">
        <v>205</v>
      </c>
      <c r="AF376" s="6" t="s">
        <v>80</v>
      </c>
      <c r="AG376" s="81" t="s">
        <v>81</v>
      </c>
      <c r="AH376" s="81" t="s">
        <v>102</v>
      </c>
      <c r="AI376" s="81" t="s">
        <v>1307</v>
      </c>
      <c r="AJ376" s="81"/>
      <c r="AK376" s="81" t="s">
        <v>923</v>
      </c>
      <c r="AL376" s="81"/>
      <c r="AM376" s="81"/>
      <c r="BF376" s="14">
        <v>45657.0</v>
      </c>
      <c r="BG376" s="7" t="s">
        <v>73</v>
      </c>
      <c r="BI376" s="15">
        <f t="shared" si="6"/>
        <v>47</v>
      </c>
      <c r="BJ376" s="15" t="str">
        <f t="shared" si="3"/>
        <v>35-55</v>
      </c>
      <c r="BL376" s="85"/>
      <c r="BM376" s="85"/>
      <c r="BN376" s="117" t="s">
        <v>80</v>
      </c>
    </row>
    <row r="377" ht="15.75" customHeight="1">
      <c r="A377" s="1">
        <v>401.0</v>
      </c>
      <c r="B377" s="2">
        <v>401.0</v>
      </c>
      <c r="C377" s="86">
        <v>45504.73314847222</v>
      </c>
      <c r="D377" s="10" t="s">
        <v>1308</v>
      </c>
      <c r="E377" s="87">
        <v>37046.0</v>
      </c>
      <c r="F377" s="13" t="s">
        <v>106</v>
      </c>
      <c r="G377" s="13" t="s">
        <v>1309</v>
      </c>
      <c r="H377" s="13">
        <v>2.494270162E9</v>
      </c>
      <c r="I377" s="13" t="s">
        <v>449</v>
      </c>
      <c r="J377" s="13" t="s">
        <v>85</v>
      </c>
      <c r="K377" s="13" t="s">
        <v>86</v>
      </c>
      <c r="L377" s="13">
        <v>77.0</v>
      </c>
      <c r="M377" s="13">
        <v>170.0</v>
      </c>
      <c r="N377" s="13" t="s">
        <v>73</v>
      </c>
      <c r="O377" s="13"/>
      <c r="P377" s="13" t="s">
        <v>74</v>
      </c>
      <c r="Q377" s="13"/>
      <c r="R377" s="13" t="s">
        <v>73</v>
      </c>
      <c r="S377" s="13" t="s">
        <v>73</v>
      </c>
      <c r="T377" s="13" t="s">
        <v>73</v>
      </c>
      <c r="U377" s="13" t="s">
        <v>73</v>
      </c>
      <c r="V377" s="13"/>
      <c r="W377" s="13"/>
      <c r="X377" s="13"/>
      <c r="Y377" s="13" t="s">
        <v>75</v>
      </c>
      <c r="Z377" s="13" t="s">
        <v>483</v>
      </c>
      <c r="AA377" s="13" t="s">
        <v>75</v>
      </c>
      <c r="AB377" s="89" t="s">
        <v>112</v>
      </c>
      <c r="AC377" s="13" t="s">
        <v>82</v>
      </c>
      <c r="AD377" s="13" t="s">
        <v>78</v>
      </c>
      <c r="AE377" s="13" t="s">
        <v>205</v>
      </c>
      <c r="AF377" s="6" t="s">
        <v>187</v>
      </c>
      <c r="AG377" s="13" t="s">
        <v>81</v>
      </c>
      <c r="AH377" s="13" t="s">
        <v>82</v>
      </c>
      <c r="AI377" s="13"/>
      <c r="AJ377" s="13"/>
      <c r="AK377" s="13"/>
      <c r="AL377" s="13"/>
      <c r="AM377" s="13" t="s">
        <v>1087</v>
      </c>
      <c r="BF377" s="14">
        <v>45657.0</v>
      </c>
      <c r="BG377" s="7" t="s">
        <v>75</v>
      </c>
      <c r="BH377" s="85" t="s">
        <v>1079</v>
      </c>
      <c r="BI377" s="15">
        <f t="shared" si="6"/>
        <v>23</v>
      </c>
      <c r="BJ377" s="15" t="str">
        <f t="shared" si="3"/>
        <v>18-35</v>
      </c>
      <c r="BL377" s="85"/>
      <c r="BM377" s="85"/>
      <c r="BN377" s="13" t="s">
        <v>187</v>
      </c>
    </row>
    <row r="378" ht="15.75" customHeight="1">
      <c r="A378" s="1">
        <v>402.0</v>
      </c>
      <c r="B378" s="2">
        <v>402.0</v>
      </c>
      <c r="C378" s="97">
        <v>45505.360504861106</v>
      </c>
      <c r="D378" s="42" t="s">
        <v>1310</v>
      </c>
      <c r="E378" s="98">
        <v>36631.0</v>
      </c>
      <c r="F378" s="81" t="s">
        <v>67</v>
      </c>
      <c r="G378" s="81" t="s">
        <v>1311</v>
      </c>
      <c r="H378" s="81">
        <v>2.945467712E9</v>
      </c>
      <c r="I378" s="81" t="s">
        <v>92</v>
      </c>
      <c r="J378" s="81" t="s">
        <v>85</v>
      </c>
      <c r="K378" s="81" t="s">
        <v>71</v>
      </c>
      <c r="L378" s="81">
        <v>55.0</v>
      </c>
      <c r="M378" s="81">
        <v>1.69</v>
      </c>
      <c r="N378" s="81" t="s">
        <v>73</v>
      </c>
      <c r="O378" s="81"/>
      <c r="P378" s="81" t="s">
        <v>178</v>
      </c>
      <c r="Q378" s="81"/>
      <c r="R378" s="81" t="s">
        <v>73</v>
      </c>
      <c r="S378" s="81" t="s">
        <v>73</v>
      </c>
      <c r="T378" s="81" t="s">
        <v>73</v>
      </c>
      <c r="U378" s="81" t="s">
        <v>73</v>
      </c>
      <c r="V378" s="81"/>
      <c r="W378" s="81"/>
      <c r="X378" s="81"/>
      <c r="Y378" s="81" t="s">
        <v>73</v>
      </c>
      <c r="Z378" s="81"/>
      <c r="AA378" s="81" t="s">
        <v>75</v>
      </c>
      <c r="AB378" s="100" t="s">
        <v>76</v>
      </c>
      <c r="AC378" s="81" t="s">
        <v>77</v>
      </c>
      <c r="AD378" s="81" t="s">
        <v>94</v>
      </c>
      <c r="AE378" s="81" t="s">
        <v>131</v>
      </c>
      <c r="AF378" s="6" t="s">
        <v>80</v>
      </c>
      <c r="AG378" s="81" t="s">
        <v>77</v>
      </c>
      <c r="AH378" s="81" t="s">
        <v>102</v>
      </c>
      <c r="AI378" s="81" t="s">
        <v>970</v>
      </c>
      <c r="AJ378" s="81"/>
      <c r="AK378" s="81" t="s">
        <v>931</v>
      </c>
      <c r="AL378" s="81"/>
      <c r="AM378" s="81"/>
      <c r="BF378" s="14">
        <v>45657.0</v>
      </c>
      <c r="BG378" s="7" t="s">
        <v>73</v>
      </c>
      <c r="BI378" s="15">
        <f t="shared" si="6"/>
        <v>24</v>
      </c>
      <c r="BJ378" s="15" t="str">
        <f t="shared" si="3"/>
        <v>18-35</v>
      </c>
      <c r="BL378" s="85"/>
      <c r="BM378" s="85"/>
      <c r="BN378" s="131" t="s">
        <v>80</v>
      </c>
    </row>
    <row r="379" ht="15.75" customHeight="1">
      <c r="A379" s="1">
        <v>403.0</v>
      </c>
      <c r="B379" s="2">
        <v>403.0</v>
      </c>
      <c r="C379" s="115">
        <v>45510.95237912037</v>
      </c>
      <c r="D379" s="18" t="s">
        <v>1312</v>
      </c>
      <c r="E379" s="116">
        <v>37769.0</v>
      </c>
      <c r="F379" s="117" t="s">
        <v>67</v>
      </c>
      <c r="G379" s="117" t="s">
        <v>1313</v>
      </c>
      <c r="H379" s="117">
        <v>2.302587392E9</v>
      </c>
      <c r="I379" s="117" t="s">
        <v>92</v>
      </c>
      <c r="J379" s="117" t="s">
        <v>85</v>
      </c>
      <c r="K379" s="117" t="s">
        <v>86</v>
      </c>
      <c r="L379" s="117">
        <v>56.0</v>
      </c>
      <c r="M379" s="117">
        <v>1.56</v>
      </c>
      <c r="N379" s="117" t="s">
        <v>73</v>
      </c>
      <c r="O379" s="117"/>
      <c r="P379" s="117" t="s">
        <v>74</v>
      </c>
      <c r="Q379" s="117"/>
      <c r="R379" s="117" t="s">
        <v>75</v>
      </c>
      <c r="S379" s="117" t="s">
        <v>73</v>
      </c>
      <c r="T379" s="117" t="s">
        <v>73</v>
      </c>
      <c r="U379" s="117" t="s">
        <v>75</v>
      </c>
      <c r="V379" s="117" t="s">
        <v>1314</v>
      </c>
      <c r="W379" s="117" t="s">
        <v>694</v>
      </c>
      <c r="X379" s="125">
        <v>44414.0</v>
      </c>
      <c r="Y379" s="117" t="s">
        <v>73</v>
      </c>
      <c r="Z379" s="117"/>
      <c r="AA379" s="117" t="s">
        <v>73</v>
      </c>
      <c r="AB379" s="118"/>
      <c r="AC379" s="117" t="s">
        <v>77</v>
      </c>
      <c r="AD379" s="117" t="s">
        <v>78</v>
      </c>
      <c r="AE379" s="117" t="s">
        <v>113</v>
      </c>
      <c r="AF379" s="6" t="s">
        <v>80</v>
      </c>
      <c r="AG379" s="117" t="s">
        <v>81</v>
      </c>
      <c r="AH379" s="117" t="s">
        <v>102</v>
      </c>
      <c r="AI379" s="117" t="s">
        <v>911</v>
      </c>
      <c r="AJ379" s="117"/>
      <c r="AK379" s="117" t="s">
        <v>912</v>
      </c>
      <c r="AL379" s="117"/>
      <c r="AM379" s="117"/>
      <c r="BF379" s="14">
        <v>45657.0</v>
      </c>
      <c r="BG379" s="7" t="s">
        <v>73</v>
      </c>
      <c r="BI379" s="15">
        <f t="shared" si="6"/>
        <v>21</v>
      </c>
      <c r="BJ379" s="15" t="str">
        <f t="shared" si="3"/>
        <v>18-35</v>
      </c>
      <c r="BL379" s="85"/>
      <c r="BM379" s="85"/>
      <c r="BN379" s="117" t="s">
        <v>80</v>
      </c>
    </row>
    <row r="380" ht="15.75" customHeight="1">
      <c r="A380" s="1">
        <v>404.0</v>
      </c>
      <c r="B380" s="2">
        <v>404.0</v>
      </c>
      <c r="C380" s="115">
        <v>45512.95558371527</v>
      </c>
      <c r="D380" s="18" t="s">
        <v>1315</v>
      </c>
      <c r="E380" s="116">
        <v>36326.0</v>
      </c>
      <c r="F380" s="117" t="s">
        <v>67</v>
      </c>
      <c r="G380" s="117" t="s">
        <v>1316</v>
      </c>
      <c r="H380" s="117">
        <v>1.167273894E9</v>
      </c>
      <c r="I380" s="117" t="s">
        <v>92</v>
      </c>
      <c r="J380" s="117" t="s">
        <v>85</v>
      </c>
      <c r="K380" s="117" t="s">
        <v>71</v>
      </c>
      <c r="L380" s="117">
        <v>55.0</v>
      </c>
      <c r="M380" s="117">
        <v>156.0</v>
      </c>
      <c r="N380" s="117" t="s">
        <v>73</v>
      </c>
      <c r="O380" s="117"/>
      <c r="P380" s="117" t="s">
        <v>74</v>
      </c>
      <c r="Q380" s="117"/>
      <c r="R380" s="117" t="s">
        <v>73</v>
      </c>
      <c r="S380" s="117" t="s">
        <v>75</v>
      </c>
      <c r="T380" s="117" t="s">
        <v>73</v>
      </c>
      <c r="U380" s="117" t="s">
        <v>73</v>
      </c>
      <c r="V380" s="117"/>
      <c r="W380" s="117"/>
      <c r="X380" s="117"/>
      <c r="Y380" s="117" t="s">
        <v>75</v>
      </c>
      <c r="Z380" s="117" t="s">
        <v>483</v>
      </c>
      <c r="AA380" s="117" t="s">
        <v>75</v>
      </c>
      <c r="AB380" s="127" t="s">
        <v>76</v>
      </c>
      <c r="AC380" s="117" t="s">
        <v>102</v>
      </c>
      <c r="AD380" s="117" t="s">
        <v>78</v>
      </c>
      <c r="AE380" s="117" t="s">
        <v>131</v>
      </c>
      <c r="AF380" s="6" t="s">
        <v>80</v>
      </c>
      <c r="AG380" s="117" t="s">
        <v>95</v>
      </c>
      <c r="AH380" s="117" t="s">
        <v>77</v>
      </c>
      <c r="AI380" s="117" t="s">
        <v>999</v>
      </c>
      <c r="AJ380" s="117"/>
      <c r="AK380" s="117" t="s">
        <v>912</v>
      </c>
      <c r="AL380" s="117"/>
      <c r="AM380" s="117"/>
      <c r="BF380" s="14">
        <v>45657.0</v>
      </c>
      <c r="BG380" s="7" t="s">
        <v>73</v>
      </c>
      <c r="BI380" s="15">
        <f t="shared" si="6"/>
        <v>25</v>
      </c>
      <c r="BJ380" s="15" t="str">
        <f t="shared" si="3"/>
        <v>18-35</v>
      </c>
      <c r="BL380" s="85"/>
      <c r="BM380" s="85"/>
      <c r="BN380" s="117" t="s">
        <v>80</v>
      </c>
    </row>
    <row r="381" ht="15.75" customHeight="1">
      <c r="A381" s="1">
        <v>405.0</v>
      </c>
      <c r="B381" s="2">
        <v>405.0</v>
      </c>
      <c r="C381" s="97">
        <v>45514.37147388889</v>
      </c>
      <c r="D381" s="42" t="s">
        <v>1317</v>
      </c>
      <c r="E381" s="98">
        <v>36577.0</v>
      </c>
      <c r="F381" s="81" t="s">
        <v>67</v>
      </c>
      <c r="G381" s="81" t="s">
        <v>1318</v>
      </c>
      <c r="H381" s="81">
        <v>1.168076359E9</v>
      </c>
      <c r="I381" s="81" t="s">
        <v>92</v>
      </c>
      <c r="J381" s="81" t="s">
        <v>85</v>
      </c>
      <c r="K381" s="81" t="s">
        <v>71</v>
      </c>
      <c r="L381" s="81">
        <v>66.0</v>
      </c>
      <c r="M381" s="81">
        <v>170.0</v>
      </c>
      <c r="N381" s="81" t="s">
        <v>73</v>
      </c>
      <c r="O381" s="81"/>
      <c r="P381" s="81" t="s">
        <v>1319</v>
      </c>
      <c r="Q381" s="81"/>
      <c r="R381" s="81" t="s">
        <v>73</v>
      </c>
      <c r="S381" s="81" t="s">
        <v>73</v>
      </c>
      <c r="T381" s="81" t="s">
        <v>73</v>
      </c>
      <c r="U381" s="81" t="s">
        <v>75</v>
      </c>
      <c r="V381" s="81" t="s">
        <v>1320</v>
      </c>
      <c r="W381" s="81" t="s">
        <v>694</v>
      </c>
      <c r="X381" s="134">
        <v>45352.0</v>
      </c>
      <c r="Y381" s="81" t="s">
        <v>73</v>
      </c>
      <c r="Z381" s="81"/>
      <c r="AA381" s="81" t="s">
        <v>73</v>
      </c>
      <c r="AB381" s="135"/>
      <c r="AC381" s="81" t="s">
        <v>95</v>
      </c>
      <c r="AD381" s="81" t="s">
        <v>94</v>
      </c>
      <c r="AE381" s="81" t="s">
        <v>113</v>
      </c>
      <c r="AF381" s="6" t="s">
        <v>187</v>
      </c>
      <c r="AG381" s="81" t="s">
        <v>81</v>
      </c>
      <c r="AH381" s="81" t="s">
        <v>82</v>
      </c>
      <c r="AI381" s="81"/>
      <c r="AJ381" s="81"/>
      <c r="AK381" s="81" t="s">
        <v>912</v>
      </c>
      <c r="AL381" s="81"/>
      <c r="AM381" s="81"/>
      <c r="BF381" s="14">
        <v>45657.0</v>
      </c>
      <c r="BG381" s="7" t="s">
        <v>73</v>
      </c>
      <c r="BI381" s="15">
        <f t="shared" si="6"/>
        <v>24</v>
      </c>
      <c r="BJ381" s="15" t="str">
        <f t="shared" si="3"/>
        <v>18-35</v>
      </c>
      <c r="BL381" s="85"/>
      <c r="BM381" s="85"/>
      <c r="BN381" s="131" t="s">
        <v>187</v>
      </c>
    </row>
    <row r="382" ht="15.75" customHeight="1">
      <c r="A382" s="1">
        <v>406.0</v>
      </c>
      <c r="B382" s="2">
        <v>406.0</v>
      </c>
      <c r="C382" s="115">
        <v>45516.76377039352</v>
      </c>
      <c r="D382" s="18" t="s">
        <v>1321</v>
      </c>
      <c r="E382" s="116">
        <v>45488.0</v>
      </c>
      <c r="F382" s="117" t="s">
        <v>67</v>
      </c>
      <c r="G382" s="117" t="s">
        <v>1322</v>
      </c>
      <c r="H382" s="117">
        <v>1.150973846E9</v>
      </c>
      <c r="I382" s="117" t="s">
        <v>92</v>
      </c>
      <c r="J382" s="117" t="s">
        <v>85</v>
      </c>
      <c r="K382" s="117" t="s">
        <v>71</v>
      </c>
      <c r="L382" s="117">
        <v>75.0</v>
      </c>
      <c r="M382" s="117">
        <v>176.0</v>
      </c>
      <c r="N382" s="117" t="s">
        <v>73</v>
      </c>
      <c r="O382" s="117"/>
      <c r="P382" s="117" t="s">
        <v>74</v>
      </c>
      <c r="Q382" s="117"/>
      <c r="R382" s="117" t="s">
        <v>73</v>
      </c>
      <c r="S382" s="117" t="s">
        <v>73</v>
      </c>
      <c r="T382" s="117" t="s">
        <v>73</v>
      </c>
      <c r="U382" s="117" t="s">
        <v>73</v>
      </c>
      <c r="V382" s="117"/>
      <c r="W382" s="117"/>
      <c r="X382" s="117"/>
      <c r="Y382" s="117" t="s">
        <v>73</v>
      </c>
      <c r="Z382" s="117"/>
      <c r="AA382" s="117" t="s">
        <v>75</v>
      </c>
      <c r="AB382" s="127" t="s">
        <v>76</v>
      </c>
      <c r="AC382" s="117" t="s">
        <v>95</v>
      </c>
      <c r="AD382" s="117" t="s">
        <v>94</v>
      </c>
      <c r="AE382" s="117" t="s">
        <v>113</v>
      </c>
      <c r="AF382" s="6" t="s">
        <v>187</v>
      </c>
      <c r="AG382" s="117" t="s">
        <v>95</v>
      </c>
      <c r="AH382" s="117" t="s">
        <v>77</v>
      </c>
      <c r="AI382" s="117" t="s">
        <v>948</v>
      </c>
      <c r="AJ382" s="117"/>
      <c r="AK382" s="117" t="s">
        <v>912</v>
      </c>
      <c r="AL382" s="117" t="s">
        <v>981</v>
      </c>
      <c r="AM382" s="117"/>
      <c r="BF382" s="14">
        <v>45657.0</v>
      </c>
      <c r="BG382" s="7" t="s">
        <v>73</v>
      </c>
      <c r="BI382" s="15">
        <f t="shared" si="6"/>
        <v>0</v>
      </c>
      <c r="BJ382" s="15" t="str">
        <f t="shared" si="3"/>
        <v>18-35</v>
      </c>
      <c r="BL382" s="85"/>
      <c r="BM382" s="85"/>
      <c r="BN382" s="117" t="s">
        <v>187</v>
      </c>
    </row>
    <row r="383" ht="15.75" customHeight="1">
      <c r="A383" s="1">
        <v>407.0</v>
      </c>
      <c r="B383" s="2">
        <v>407.0</v>
      </c>
      <c r="C383" s="115">
        <v>45517.62748130787</v>
      </c>
      <c r="D383" s="18" t="s">
        <v>1323</v>
      </c>
      <c r="E383" s="116">
        <v>27405.0</v>
      </c>
      <c r="F383" s="117" t="s">
        <v>67</v>
      </c>
      <c r="G383" s="117" t="s">
        <v>1324</v>
      </c>
      <c r="H383" s="117">
        <v>1.150136841E9</v>
      </c>
      <c r="I383" s="117" t="s">
        <v>449</v>
      </c>
      <c r="J383" s="117" t="s">
        <v>85</v>
      </c>
      <c r="K383" s="117" t="s">
        <v>134</v>
      </c>
      <c r="L383" s="117">
        <v>52.0</v>
      </c>
      <c r="M383" s="117">
        <v>165.0</v>
      </c>
      <c r="N383" s="117" t="s">
        <v>73</v>
      </c>
      <c r="O383" s="117"/>
      <c r="P383" s="117" t="s">
        <v>74</v>
      </c>
      <c r="Q383" s="117"/>
      <c r="R383" s="117" t="s">
        <v>73</v>
      </c>
      <c r="S383" s="117" t="s">
        <v>73</v>
      </c>
      <c r="T383" s="117" t="s">
        <v>73</v>
      </c>
      <c r="U383" s="117" t="s">
        <v>73</v>
      </c>
      <c r="V383" s="117"/>
      <c r="W383" s="117"/>
      <c r="X383" s="117"/>
      <c r="Y383" s="117" t="s">
        <v>73</v>
      </c>
      <c r="Z383" s="117"/>
      <c r="AA383" s="117" t="s">
        <v>75</v>
      </c>
      <c r="AB383" s="127" t="s">
        <v>76</v>
      </c>
      <c r="AC383" s="117" t="s">
        <v>77</v>
      </c>
      <c r="AD383" s="117" t="s">
        <v>94</v>
      </c>
      <c r="AE383" s="117" t="s">
        <v>131</v>
      </c>
      <c r="AF383" s="6" t="s">
        <v>80</v>
      </c>
      <c r="AG383" s="117" t="s">
        <v>95</v>
      </c>
      <c r="AH383" s="117" t="s">
        <v>82</v>
      </c>
      <c r="AI383" s="117"/>
      <c r="AJ383" s="117"/>
      <c r="AK383" s="117" t="s">
        <v>923</v>
      </c>
      <c r="AL383" s="117"/>
      <c r="AM383" s="117"/>
      <c r="BF383" s="14">
        <v>45657.0</v>
      </c>
      <c r="BG383" s="7" t="s">
        <v>73</v>
      </c>
      <c r="BI383" s="15">
        <f t="shared" si="6"/>
        <v>49</v>
      </c>
      <c r="BJ383" s="15" t="str">
        <f t="shared" si="3"/>
        <v>35-55</v>
      </c>
      <c r="BL383" s="85"/>
      <c r="BM383" s="85"/>
      <c r="BN383" s="117" t="s">
        <v>80</v>
      </c>
    </row>
    <row r="384" ht="15.75" customHeight="1">
      <c r="A384" s="1">
        <v>408.0</v>
      </c>
      <c r="B384" s="2">
        <v>408.0</v>
      </c>
      <c r="C384" s="92">
        <v>45517.62806300926</v>
      </c>
      <c r="D384" s="33" t="s">
        <v>1325</v>
      </c>
      <c r="E384" s="93">
        <v>21814.0</v>
      </c>
      <c r="F384" s="94" t="s">
        <v>67</v>
      </c>
      <c r="G384" s="94" t="s">
        <v>1326</v>
      </c>
      <c r="H384" s="94">
        <v>1.136899562E9</v>
      </c>
      <c r="I384" s="94" t="s">
        <v>92</v>
      </c>
      <c r="J384" s="94" t="s">
        <v>146</v>
      </c>
      <c r="K384" s="94" t="s">
        <v>86</v>
      </c>
      <c r="L384" s="94">
        <v>63.0</v>
      </c>
      <c r="M384" s="94">
        <v>1.72</v>
      </c>
      <c r="N384" s="94" t="s">
        <v>75</v>
      </c>
      <c r="O384" s="94" t="s">
        <v>1327</v>
      </c>
      <c r="P384" s="94" t="s">
        <v>329</v>
      </c>
      <c r="Q384" s="94"/>
      <c r="R384" s="94" t="s">
        <v>73</v>
      </c>
      <c r="S384" s="94" t="s">
        <v>73</v>
      </c>
      <c r="T384" s="94" t="s">
        <v>73</v>
      </c>
      <c r="U384" s="94" t="s">
        <v>73</v>
      </c>
      <c r="V384" s="94"/>
      <c r="W384" s="94"/>
      <c r="X384" s="94"/>
      <c r="Y384" s="94" t="s">
        <v>73</v>
      </c>
      <c r="Z384" s="94"/>
      <c r="AA384" s="94" t="s">
        <v>73</v>
      </c>
      <c r="AB384" s="121"/>
      <c r="AC384" s="94" t="s">
        <v>77</v>
      </c>
      <c r="AD384" s="94" t="s">
        <v>78</v>
      </c>
      <c r="AE384" s="94" t="s">
        <v>138</v>
      </c>
      <c r="AF384" s="6" t="s">
        <v>151</v>
      </c>
      <c r="AG384" s="94" t="s">
        <v>95</v>
      </c>
      <c r="AH384" s="94" t="s">
        <v>96</v>
      </c>
      <c r="AI384" s="94" t="s">
        <v>1046</v>
      </c>
      <c r="AJ384" s="94"/>
      <c r="AK384" s="94"/>
      <c r="AL384" s="94" t="s">
        <v>981</v>
      </c>
      <c r="AM384" s="94"/>
      <c r="BF384" s="14">
        <v>45657.0</v>
      </c>
      <c r="BG384" s="7" t="s">
        <v>73</v>
      </c>
      <c r="BI384" s="15">
        <f t="shared" si="6"/>
        <v>65</v>
      </c>
      <c r="BJ384" s="15" t="str">
        <f t="shared" si="3"/>
        <v>&gt;55</v>
      </c>
      <c r="BL384" s="85"/>
      <c r="BM384" s="85"/>
      <c r="BN384" s="94" t="s">
        <v>151</v>
      </c>
    </row>
    <row r="385" ht="15.75" customHeight="1">
      <c r="A385" s="1">
        <v>409.0</v>
      </c>
      <c r="B385" s="2">
        <v>409.0</v>
      </c>
      <c r="C385" s="101">
        <v>45517.62907592593</v>
      </c>
      <c r="D385" s="38" t="s">
        <v>1328</v>
      </c>
      <c r="E385" s="102">
        <v>22842.0</v>
      </c>
      <c r="F385" s="43" t="s">
        <v>106</v>
      </c>
      <c r="G385" s="43" t="s">
        <v>1329</v>
      </c>
      <c r="H385" s="43">
        <v>1.159540984E9</v>
      </c>
      <c r="I385" s="43" t="s">
        <v>221</v>
      </c>
      <c r="J385" s="43" t="s">
        <v>70</v>
      </c>
      <c r="K385" s="43" t="s">
        <v>71</v>
      </c>
      <c r="L385" s="43">
        <v>80.0</v>
      </c>
      <c r="M385" s="43">
        <v>178.0</v>
      </c>
      <c r="N385" s="43" t="s">
        <v>75</v>
      </c>
      <c r="O385" s="43" t="s">
        <v>1330</v>
      </c>
      <c r="P385" s="43" t="s">
        <v>1331</v>
      </c>
      <c r="Q385" s="43"/>
      <c r="R385" s="43" t="s">
        <v>73</v>
      </c>
      <c r="S385" s="43" t="s">
        <v>73</v>
      </c>
      <c r="T385" s="43" t="s">
        <v>73</v>
      </c>
      <c r="U385" s="43" t="s">
        <v>73</v>
      </c>
      <c r="V385" s="43"/>
      <c r="W385" s="43"/>
      <c r="X385" s="43"/>
      <c r="Y385" s="43" t="s">
        <v>73</v>
      </c>
      <c r="Z385" s="43"/>
      <c r="AA385" s="43" t="s">
        <v>75</v>
      </c>
      <c r="AB385" s="103"/>
      <c r="AC385" s="43" t="s">
        <v>82</v>
      </c>
      <c r="AD385" s="43" t="s">
        <v>78</v>
      </c>
      <c r="AE385" s="43" t="s">
        <v>138</v>
      </c>
      <c r="AF385" s="6" t="s">
        <v>151</v>
      </c>
      <c r="AG385" s="43" t="s">
        <v>81</v>
      </c>
      <c r="AH385" s="43" t="s">
        <v>82</v>
      </c>
      <c r="AI385" s="43"/>
      <c r="AJ385" s="43"/>
      <c r="AK385" s="43" t="s">
        <v>931</v>
      </c>
      <c r="AL385" s="43"/>
      <c r="AM385" s="43"/>
      <c r="BF385" s="14">
        <v>45657.0</v>
      </c>
      <c r="BG385" s="7" t="s">
        <v>73</v>
      </c>
      <c r="BI385" s="15">
        <f t="shared" si="6"/>
        <v>62</v>
      </c>
      <c r="BJ385" s="15" t="str">
        <f t="shared" si="3"/>
        <v>&gt;55</v>
      </c>
      <c r="BL385" s="85"/>
      <c r="BM385" s="85"/>
      <c r="BN385" s="43" t="s">
        <v>151</v>
      </c>
    </row>
    <row r="386" ht="15.75" customHeight="1">
      <c r="A386" s="1">
        <v>410.0</v>
      </c>
      <c r="B386" s="2">
        <v>410.0</v>
      </c>
      <c r="C386" s="115">
        <v>45517.62931978009</v>
      </c>
      <c r="D386" s="18" t="s">
        <v>1332</v>
      </c>
      <c r="E386" s="116">
        <v>34130.0</v>
      </c>
      <c r="F386" s="117" t="s">
        <v>106</v>
      </c>
      <c r="G386" s="117" t="s">
        <v>1333</v>
      </c>
      <c r="H386" s="117">
        <v>1.136112865E9</v>
      </c>
      <c r="I386" s="117" t="s">
        <v>69</v>
      </c>
      <c r="J386" s="117" t="s">
        <v>70</v>
      </c>
      <c r="K386" s="117" t="s">
        <v>71</v>
      </c>
      <c r="L386" s="117">
        <v>55.0</v>
      </c>
      <c r="M386" s="117">
        <v>167.0</v>
      </c>
      <c r="N386" s="117" t="s">
        <v>73</v>
      </c>
      <c r="O386" s="117"/>
      <c r="P386" s="117" t="s">
        <v>74</v>
      </c>
      <c r="Q386" s="117"/>
      <c r="R386" s="117" t="s">
        <v>73</v>
      </c>
      <c r="S386" s="117" t="s">
        <v>73</v>
      </c>
      <c r="T386" s="117" t="s">
        <v>73</v>
      </c>
      <c r="U386" s="117" t="s">
        <v>73</v>
      </c>
      <c r="V386" s="117"/>
      <c r="W386" s="117"/>
      <c r="X386" s="117"/>
      <c r="Y386" s="117" t="s">
        <v>73</v>
      </c>
      <c r="Z386" s="117"/>
      <c r="AA386" s="117" t="s">
        <v>75</v>
      </c>
      <c r="AB386" s="127" t="s">
        <v>76</v>
      </c>
      <c r="AC386" s="117" t="s">
        <v>77</v>
      </c>
      <c r="AD386" s="117" t="s">
        <v>78</v>
      </c>
      <c r="AE386" s="117" t="s">
        <v>205</v>
      </c>
      <c r="AF386" s="6" t="s">
        <v>80</v>
      </c>
      <c r="AG386" s="117" t="s">
        <v>81</v>
      </c>
      <c r="AH386" s="117" t="s">
        <v>82</v>
      </c>
      <c r="AI386" s="117"/>
      <c r="AJ386" s="117"/>
      <c r="AK386" s="117" t="s">
        <v>931</v>
      </c>
      <c r="AL386" s="117"/>
      <c r="AM386" s="117"/>
      <c r="BF386" s="14">
        <v>45657.0</v>
      </c>
      <c r="BG386" s="7" t="s">
        <v>73</v>
      </c>
      <c r="BI386" s="15">
        <f t="shared" si="6"/>
        <v>31</v>
      </c>
      <c r="BJ386" s="15" t="str">
        <f t="shared" si="3"/>
        <v>18-35</v>
      </c>
      <c r="BL386" s="85"/>
      <c r="BM386" s="85"/>
      <c r="BN386" s="117" t="s">
        <v>80</v>
      </c>
    </row>
    <row r="387" ht="15.75" customHeight="1">
      <c r="A387" s="1">
        <v>411.0</v>
      </c>
      <c r="B387" s="66">
        <v>411.0</v>
      </c>
      <c r="C387" s="97">
        <v>45517.629500208335</v>
      </c>
      <c r="D387" s="42" t="s">
        <v>1334</v>
      </c>
      <c r="E387" s="98">
        <v>36867.0</v>
      </c>
      <c r="F387" s="81" t="s">
        <v>106</v>
      </c>
      <c r="G387" s="81" t="s">
        <v>1335</v>
      </c>
      <c r="H387" s="81">
        <v>1.1612753E9</v>
      </c>
      <c r="I387" s="81" t="s">
        <v>449</v>
      </c>
      <c r="J387" s="81" t="s">
        <v>85</v>
      </c>
      <c r="K387" s="81" t="s">
        <v>166</v>
      </c>
      <c r="L387" s="81">
        <v>96.0</v>
      </c>
      <c r="M387" s="81">
        <v>1.7</v>
      </c>
      <c r="N387" s="81" t="s">
        <v>75</v>
      </c>
      <c r="O387" s="81" t="s">
        <v>1336</v>
      </c>
      <c r="P387" s="81" t="s">
        <v>178</v>
      </c>
      <c r="Q387" s="81"/>
      <c r="R387" s="81" t="s">
        <v>73</v>
      </c>
      <c r="S387" s="81" t="s">
        <v>73</v>
      </c>
      <c r="T387" s="81" t="s">
        <v>73</v>
      </c>
      <c r="U387" s="81" t="s">
        <v>75</v>
      </c>
      <c r="V387" s="81" t="s">
        <v>1337</v>
      </c>
      <c r="W387" s="81" t="s">
        <v>694</v>
      </c>
      <c r="X387" s="134">
        <v>45274.0</v>
      </c>
      <c r="Y387" s="81" t="s">
        <v>73</v>
      </c>
      <c r="Z387" s="81"/>
      <c r="AA387" s="81" t="s">
        <v>73</v>
      </c>
      <c r="AB387" s="135"/>
      <c r="AC387" s="81" t="s">
        <v>102</v>
      </c>
      <c r="AD387" s="81" t="s">
        <v>78</v>
      </c>
      <c r="AE387" s="81" t="s">
        <v>205</v>
      </c>
      <c r="AF387" s="6" t="s">
        <v>187</v>
      </c>
      <c r="AG387" s="81" t="s">
        <v>81</v>
      </c>
      <c r="AH387" s="81" t="s">
        <v>82</v>
      </c>
      <c r="AI387" s="81"/>
      <c r="AJ387" s="81"/>
      <c r="AK387" s="81" t="s">
        <v>912</v>
      </c>
      <c r="AL387" s="81"/>
      <c r="AM387" s="81"/>
      <c r="BF387" s="14">
        <v>45657.0</v>
      </c>
      <c r="BG387" s="7" t="s">
        <v>73</v>
      </c>
      <c r="BH387" s="85" t="s">
        <v>190</v>
      </c>
      <c r="BI387" s="15">
        <f t="shared" si="6"/>
        <v>24</v>
      </c>
      <c r="BJ387" s="15" t="str">
        <f t="shared" si="3"/>
        <v>18-35</v>
      </c>
      <c r="BL387" s="85"/>
      <c r="BM387" s="85"/>
      <c r="BN387" s="131" t="s">
        <v>187</v>
      </c>
    </row>
    <row r="388" ht="15.75" customHeight="1">
      <c r="A388" s="1">
        <v>412.0</v>
      </c>
      <c r="B388" s="2">
        <v>412.0</v>
      </c>
      <c r="C388" s="136">
        <v>45517.62962402777</v>
      </c>
      <c r="D388" s="137" t="s">
        <v>1338</v>
      </c>
      <c r="E388" s="138">
        <v>35115.0</v>
      </c>
      <c r="F388" s="139" t="s">
        <v>106</v>
      </c>
      <c r="G388" s="139" t="s">
        <v>1339</v>
      </c>
      <c r="H388" s="139" t="s">
        <v>1340</v>
      </c>
      <c r="I388" s="139" t="s">
        <v>449</v>
      </c>
      <c r="J388" s="139" t="s">
        <v>85</v>
      </c>
      <c r="K388" s="139" t="s">
        <v>86</v>
      </c>
      <c r="L388" s="139">
        <v>74.0</v>
      </c>
      <c r="M388" s="139">
        <v>173.0</v>
      </c>
      <c r="N388" s="139" t="s">
        <v>73</v>
      </c>
      <c r="O388" s="139"/>
      <c r="P388" s="139" t="s">
        <v>1341</v>
      </c>
      <c r="Q388" s="139"/>
      <c r="R388" s="139" t="s">
        <v>73</v>
      </c>
      <c r="S388" s="139" t="s">
        <v>73</v>
      </c>
      <c r="T388" s="139" t="s">
        <v>73</v>
      </c>
      <c r="U388" s="139" t="s">
        <v>73</v>
      </c>
      <c r="V388" s="139"/>
      <c r="W388" s="139"/>
      <c r="X388" s="139"/>
      <c r="Y388" s="139" t="s">
        <v>73</v>
      </c>
      <c r="Z388" s="139"/>
      <c r="AA388" s="139" t="s">
        <v>75</v>
      </c>
      <c r="AB388" s="140" t="s">
        <v>76</v>
      </c>
      <c r="AC388" s="139" t="s">
        <v>95</v>
      </c>
      <c r="AD388" s="139" t="s">
        <v>94</v>
      </c>
      <c r="AE388" s="139" t="s">
        <v>113</v>
      </c>
      <c r="AF388" s="6" t="s">
        <v>187</v>
      </c>
      <c r="AG388" s="139" t="s">
        <v>95</v>
      </c>
      <c r="AH388" s="139" t="s">
        <v>82</v>
      </c>
      <c r="AI388" s="139"/>
      <c r="AJ388" s="139"/>
      <c r="AK388" s="139" t="s">
        <v>912</v>
      </c>
      <c r="AL388" s="139"/>
      <c r="AM388" s="139"/>
      <c r="BF388" s="14">
        <v>45657.0</v>
      </c>
      <c r="BG388" s="7" t="s">
        <v>73</v>
      </c>
      <c r="BI388" s="15">
        <f t="shared" si="6"/>
        <v>28</v>
      </c>
      <c r="BJ388" s="15" t="str">
        <f t="shared" si="3"/>
        <v>18-35</v>
      </c>
      <c r="BL388" s="85"/>
      <c r="BM388" s="85"/>
      <c r="BN388" s="139" t="s">
        <v>187</v>
      </c>
    </row>
    <row r="389" ht="15.75" customHeight="1">
      <c r="A389" s="1">
        <v>413.0</v>
      </c>
      <c r="B389" s="2">
        <v>413.0</v>
      </c>
      <c r="C389" s="136">
        <v>45517.630804768516</v>
      </c>
      <c r="D389" s="137" t="s">
        <v>1342</v>
      </c>
      <c r="E389" s="138">
        <v>28111.0</v>
      </c>
      <c r="F389" s="139" t="s">
        <v>106</v>
      </c>
      <c r="G389" s="139" t="s">
        <v>1343</v>
      </c>
      <c r="H389" s="141" t="s">
        <v>1344</v>
      </c>
      <c r="I389" s="139" t="s">
        <v>280</v>
      </c>
      <c r="J389" s="139" t="s">
        <v>146</v>
      </c>
      <c r="K389" s="139" t="s">
        <v>71</v>
      </c>
      <c r="L389" s="139">
        <v>72.0</v>
      </c>
      <c r="M389" s="139">
        <v>179.0</v>
      </c>
      <c r="N389" s="139" t="s">
        <v>73</v>
      </c>
      <c r="O389" s="139"/>
      <c r="P389" s="139" t="s">
        <v>1345</v>
      </c>
      <c r="Q389" s="139"/>
      <c r="R389" s="139" t="s">
        <v>73</v>
      </c>
      <c r="S389" s="139" t="s">
        <v>73</v>
      </c>
      <c r="T389" s="139" t="s">
        <v>73</v>
      </c>
      <c r="U389" s="139" t="s">
        <v>73</v>
      </c>
      <c r="V389" s="139"/>
      <c r="W389" s="139"/>
      <c r="X389" s="139"/>
      <c r="Y389" s="139" t="s">
        <v>73</v>
      </c>
      <c r="Z389" s="139"/>
      <c r="AA389" s="139" t="s">
        <v>75</v>
      </c>
      <c r="AB389" s="140" t="s">
        <v>76</v>
      </c>
      <c r="AC389" s="139" t="s">
        <v>95</v>
      </c>
      <c r="AD389" s="139" t="s">
        <v>506</v>
      </c>
      <c r="AE389" s="139" t="s">
        <v>138</v>
      </c>
      <c r="AF389" s="6" t="s">
        <v>80</v>
      </c>
      <c r="AG389" s="139" t="s">
        <v>95</v>
      </c>
      <c r="AH389" s="139" t="s">
        <v>82</v>
      </c>
      <c r="AI389" s="139"/>
      <c r="AJ389" s="139"/>
      <c r="AK389" s="139" t="s">
        <v>918</v>
      </c>
      <c r="AL389" s="139"/>
      <c r="AM389" s="139"/>
      <c r="BF389" s="14">
        <v>45657.0</v>
      </c>
      <c r="BG389" s="7" t="s">
        <v>73</v>
      </c>
      <c r="BI389" s="15">
        <f t="shared" si="6"/>
        <v>48</v>
      </c>
      <c r="BJ389" s="15" t="str">
        <f t="shared" si="3"/>
        <v>35-55</v>
      </c>
      <c r="BL389" s="85"/>
      <c r="BM389" s="85"/>
      <c r="BN389" s="139" t="s">
        <v>80</v>
      </c>
    </row>
    <row r="390" ht="15.75" customHeight="1">
      <c r="A390" s="1">
        <v>414.0</v>
      </c>
      <c r="B390" s="2">
        <v>414.0</v>
      </c>
      <c r="C390" s="115">
        <v>45517.63103841435</v>
      </c>
      <c r="D390" s="18" t="s">
        <v>1346</v>
      </c>
      <c r="E390" s="116">
        <v>26989.0</v>
      </c>
      <c r="F390" s="117" t="s">
        <v>67</v>
      </c>
      <c r="G390" s="117" t="s">
        <v>1347</v>
      </c>
      <c r="H390" s="117">
        <v>2.221413922E9</v>
      </c>
      <c r="I390" s="117" t="s">
        <v>92</v>
      </c>
      <c r="J390" s="117" t="s">
        <v>85</v>
      </c>
      <c r="K390" s="117" t="s">
        <v>71</v>
      </c>
      <c r="L390" s="117">
        <v>62.0</v>
      </c>
      <c r="M390" s="117">
        <v>1.64</v>
      </c>
      <c r="N390" s="117" t="s">
        <v>73</v>
      </c>
      <c r="O390" s="117"/>
      <c r="P390" s="117" t="s">
        <v>74</v>
      </c>
      <c r="Q390" s="117"/>
      <c r="R390" s="117" t="s">
        <v>73</v>
      </c>
      <c r="S390" s="117" t="s">
        <v>73</v>
      </c>
      <c r="T390" s="117" t="s">
        <v>73</v>
      </c>
      <c r="U390" s="117" t="s">
        <v>73</v>
      </c>
      <c r="V390" s="117"/>
      <c r="W390" s="117"/>
      <c r="X390" s="117"/>
      <c r="Y390" s="117" t="s">
        <v>73</v>
      </c>
      <c r="Z390" s="117"/>
      <c r="AA390" s="117" t="s">
        <v>73</v>
      </c>
      <c r="AB390" s="118"/>
      <c r="AC390" s="117" t="s">
        <v>77</v>
      </c>
      <c r="AD390" s="117" t="s">
        <v>78</v>
      </c>
      <c r="AE390" s="117" t="s">
        <v>131</v>
      </c>
      <c r="AF390" s="6" t="s">
        <v>80</v>
      </c>
      <c r="AG390" s="117" t="s">
        <v>81</v>
      </c>
      <c r="AH390" s="117" t="s">
        <v>96</v>
      </c>
      <c r="AI390" s="117" t="s">
        <v>1307</v>
      </c>
      <c r="AJ390" s="117"/>
      <c r="AK390" s="117" t="s">
        <v>912</v>
      </c>
      <c r="AL390" s="117" t="s">
        <v>1013</v>
      </c>
      <c r="AM390" s="117"/>
      <c r="BF390" s="14">
        <v>45657.0</v>
      </c>
      <c r="BG390" s="7" t="s">
        <v>73</v>
      </c>
      <c r="BI390" s="15">
        <f t="shared" si="6"/>
        <v>51</v>
      </c>
      <c r="BJ390" s="15" t="str">
        <f t="shared" si="3"/>
        <v>35-55</v>
      </c>
      <c r="BL390" s="85"/>
      <c r="BM390" s="85"/>
      <c r="BN390" s="117" t="s">
        <v>80</v>
      </c>
    </row>
    <row r="391" ht="15.75" customHeight="1">
      <c r="A391" s="1">
        <v>415.0</v>
      </c>
      <c r="B391" s="2">
        <v>415.0</v>
      </c>
      <c r="C391" s="142">
        <v>45517.63309833333</v>
      </c>
      <c r="D391" s="49" t="s">
        <v>1348</v>
      </c>
      <c r="E391" s="143">
        <v>24035.0</v>
      </c>
      <c r="F391" s="112" t="s">
        <v>67</v>
      </c>
      <c r="G391" s="112" t="s">
        <v>1349</v>
      </c>
      <c r="H391" s="112">
        <v>1.150623115E9</v>
      </c>
      <c r="I391" s="112" t="s">
        <v>69</v>
      </c>
      <c r="J391" s="112" t="s">
        <v>146</v>
      </c>
      <c r="K391" s="112" t="s">
        <v>71</v>
      </c>
      <c r="L391" s="112">
        <v>59.0</v>
      </c>
      <c r="M391" s="112">
        <v>167.0</v>
      </c>
      <c r="N391" s="112" t="s">
        <v>75</v>
      </c>
      <c r="O391" s="112" t="s">
        <v>342</v>
      </c>
      <c r="P391" s="112" t="s">
        <v>342</v>
      </c>
      <c r="Q391" s="112"/>
      <c r="R391" s="112" t="s">
        <v>73</v>
      </c>
      <c r="S391" s="112" t="s">
        <v>73</v>
      </c>
      <c r="T391" s="112" t="s">
        <v>73</v>
      </c>
      <c r="U391" s="112" t="s">
        <v>73</v>
      </c>
      <c r="V391" s="112"/>
      <c r="W391" s="112"/>
      <c r="X391" s="112"/>
      <c r="Y391" s="112" t="s">
        <v>73</v>
      </c>
      <c r="Z391" s="112"/>
      <c r="AA391" s="112" t="s">
        <v>75</v>
      </c>
      <c r="AB391" s="144" t="s">
        <v>76</v>
      </c>
      <c r="AC391" s="112" t="s">
        <v>77</v>
      </c>
      <c r="AD391" s="112" t="s">
        <v>78</v>
      </c>
      <c r="AE391" s="112" t="s">
        <v>205</v>
      </c>
      <c r="AF391" s="6" t="s">
        <v>151</v>
      </c>
      <c r="AG391" s="112" t="s">
        <v>81</v>
      </c>
      <c r="AH391" s="112" t="s">
        <v>96</v>
      </c>
      <c r="AI391" s="112" t="s">
        <v>951</v>
      </c>
      <c r="AJ391" s="112"/>
      <c r="AK391" s="112" t="s">
        <v>912</v>
      </c>
      <c r="AL391" s="112"/>
      <c r="AM391" s="112"/>
      <c r="BF391" s="14">
        <v>45657.0</v>
      </c>
      <c r="BG391" s="7" t="s">
        <v>73</v>
      </c>
      <c r="BI391" s="15">
        <f t="shared" si="6"/>
        <v>59</v>
      </c>
      <c r="BJ391" s="15" t="str">
        <f t="shared" si="3"/>
        <v>&gt;55</v>
      </c>
      <c r="BL391" s="85"/>
      <c r="BM391" s="85"/>
      <c r="BN391" s="112" t="s">
        <v>151</v>
      </c>
    </row>
    <row r="392" ht="15.75" customHeight="1">
      <c r="A392" s="1">
        <v>416.0</v>
      </c>
      <c r="B392" s="2">
        <v>416.0</v>
      </c>
      <c r="C392" s="92">
        <v>45517.6335837963</v>
      </c>
      <c r="D392" s="33" t="s">
        <v>1350</v>
      </c>
      <c r="E392" s="93">
        <v>31820.0</v>
      </c>
      <c r="F392" s="94" t="s">
        <v>67</v>
      </c>
      <c r="G392" s="94" t="s">
        <v>1351</v>
      </c>
      <c r="H392" s="94">
        <v>1.158448577E9</v>
      </c>
      <c r="I392" s="94" t="s">
        <v>69</v>
      </c>
      <c r="J392" s="94" t="s">
        <v>70</v>
      </c>
      <c r="K392" s="94" t="s">
        <v>71</v>
      </c>
      <c r="L392" s="94">
        <v>68.0</v>
      </c>
      <c r="M392" s="94">
        <v>169.0</v>
      </c>
      <c r="N392" s="94" t="s">
        <v>73</v>
      </c>
      <c r="O392" s="94"/>
      <c r="P392" s="94" t="s">
        <v>329</v>
      </c>
      <c r="Q392" s="94"/>
      <c r="R392" s="94" t="s">
        <v>75</v>
      </c>
      <c r="S392" s="94" t="s">
        <v>73</v>
      </c>
      <c r="T392" s="94" t="s">
        <v>73</v>
      </c>
      <c r="U392" s="94" t="s">
        <v>75</v>
      </c>
      <c r="V392" s="94" t="s">
        <v>1352</v>
      </c>
      <c r="W392" s="94" t="s">
        <v>694</v>
      </c>
      <c r="X392" s="110">
        <v>41244.0</v>
      </c>
      <c r="Y392" s="94" t="s">
        <v>73</v>
      </c>
      <c r="Z392" s="94"/>
      <c r="AA392" s="94" t="s">
        <v>75</v>
      </c>
      <c r="AB392" s="95" t="s">
        <v>76</v>
      </c>
      <c r="AC392" s="94" t="s">
        <v>95</v>
      </c>
      <c r="AD392" s="94" t="s">
        <v>94</v>
      </c>
      <c r="AE392" s="94" t="s">
        <v>79</v>
      </c>
      <c r="AF392" s="6" t="s">
        <v>80</v>
      </c>
      <c r="AG392" s="94" t="s">
        <v>95</v>
      </c>
      <c r="AH392" s="94" t="s">
        <v>102</v>
      </c>
      <c r="AI392" s="94" t="s">
        <v>956</v>
      </c>
      <c r="AJ392" s="94"/>
      <c r="AK392" s="94" t="s">
        <v>918</v>
      </c>
      <c r="AL392" s="94"/>
      <c r="AM392" s="94"/>
      <c r="BF392" s="14">
        <v>45657.0</v>
      </c>
      <c r="BG392" s="7" t="s">
        <v>73</v>
      </c>
      <c r="BI392" s="15">
        <f t="shared" si="6"/>
        <v>37</v>
      </c>
      <c r="BJ392" s="15" t="str">
        <f t="shared" si="3"/>
        <v>35-55</v>
      </c>
      <c r="BL392" s="85"/>
      <c r="BM392" s="85"/>
      <c r="BN392" s="94" t="s">
        <v>80</v>
      </c>
    </row>
    <row r="393" ht="15.75" customHeight="1">
      <c r="A393" s="1">
        <v>417.0</v>
      </c>
      <c r="B393" s="2">
        <v>417.0</v>
      </c>
      <c r="C393" s="142">
        <v>45517.634914814815</v>
      </c>
      <c r="D393" s="49" t="s">
        <v>1353</v>
      </c>
      <c r="E393" s="143">
        <v>20323.0</v>
      </c>
      <c r="F393" s="112" t="s">
        <v>106</v>
      </c>
      <c r="G393" s="112" t="s">
        <v>1354</v>
      </c>
      <c r="H393" s="112">
        <v>1.161717116E9</v>
      </c>
      <c r="I393" s="112" t="s">
        <v>221</v>
      </c>
      <c r="J393" s="112" t="s">
        <v>146</v>
      </c>
      <c r="K393" s="112" t="s">
        <v>71</v>
      </c>
      <c r="L393" s="112">
        <v>97.0</v>
      </c>
      <c r="M393" s="112">
        <v>178.0</v>
      </c>
      <c r="N393" s="112" t="s">
        <v>73</v>
      </c>
      <c r="O393" s="112"/>
      <c r="P393" s="112" t="s">
        <v>342</v>
      </c>
      <c r="Q393" s="112"/>
      <c r="R393" s="112" t="s">
        <v>73</v>
      </c>
      <c r="S393" s="112" t="s">
        <v>73</v>
      </c>
      <c r="T393" s="112" t="s">
        <v>73</v>
      </c>
      <c r="U393" s="112" t="s">
        <v>75</v>
      </c>
      <c r="V393" s="112" t="s">
        <v>1355</v>
      </c>
      <c r="W393" s="112" t="s">
        <v>1356</v>
      </c>
      <c r="X393" s="145">
        <v>45404.0</v>
      </c>
      <c r="Y393" s="112" t="s">
        <v>73</v>
      </c>
      <c r="Z393" s="112"/>
      <c r="AA393" s="112" t="s">
        <v>75</v>
      </c>
      <c r="AB393" s="144" t="s">
        <v>76</v>
      </c>
      <c r="AC393" s="112" t="s">
        <v>77</v>
      </c>
      <c r="AD393" s="112" t="s">
        <v>78</v>
      </c>
      <c r="AE393" s="112" t="s">
        <v>205</v>
      </c>
      <c r="AF393" s="6"/>
      <c r="AG393" s="112" t="s">
        <v>81</v>
      </c>
      <c r="AH393" s="112" t="s">
        <v>82</v>
      </c>
      <c r="AI393" s="112"/>
      <c r="AJ393" s="112"/>
      <c r="AK393" s="112" t="s">
        <v>931</v>
      </c>
      <c r="AL393" s="112"/>
      <c r="AM393" s="112"/>
      <c r="BF393" s="14">
        <v>45657.0</v>
      </c>
      <c r="BG393" s="7" t="s">
        <v>73</v>
      </c>
      <c r="BI393" s="15">
        <f t="shared" si="6"/>
        <v>69</v>
      </c>
      <c r="BJ393" s="15" t="str">
        <f t="shared" si="3"/>
        <v>&gt;55</v>
      </c>
      <c r="BL393" s="85"/>
      <c r="BM393" s="85"/>
      <c r="BN393" s="112" t="s">
        <v>1357</v>
      </c>
    </row>
    <row r="394" ht="15.75" customHeight="1">
      <c r="A394" s="1">
        <v>418.0</v>
      </c>
      <c r="B394" s="2">
        <v>418.0</v>
      </c>
      <c r="C394" s="115">
        <v>45517.85631708334</v>
      </c>
      <c r="D394" s="18" t="s">
        <v>1358</v>
      </c>
      <c r="E394" s="116">
        <v>19442.0</v>
      </c>
      <c r="F394" s="117" t="s">
        <v>67</v>
      </c>
      <c r="G394" s="117" t="s">
        <v>1359</v>
      </c>
      <c r="H394" s="117" t="s">
        <v>1360</v>
      </c>
      <c r="I394" s="117" t="s">
        <v>92</v>
      </c>
      <c r="J394" s="117" t="s">
        <v>109</v>
      </c>
      <c r="K394" s="117" t="s">
        <v>166</v>
      </c>
      <c r="L394" s="117">
        <v>65.0</v>
      </c>
      <c r="M394" s="117">
        <v>1.62</v>
      </c>
      <c r="N394" s="117" t="s">
        <v>73</v>
      </c>
      <c r="O394" s="117"/>
      <c r="P394" s="117" t="s">
        <v>74</v>
      </c>
      <c r="Q394" s="117"/>
      <c r="R394" s="117" t="s">
        <v>73</v>
      </c>
      <c r="S394" s="117" t="s">
        <v>73</v>
      </c>
      <c r="T394" s="117" t="s">
        <v>73</v>
      </c>
      <c r="U394" s="117" t="s">
        <v>73</v>
      </c>
      <c r="V394" s="117"/>
      <c r="W394" s="117"/>
      <c r="X394" s="117"/>
      <c r="Y394" s="117" t="s">
        <v>73</v>
      </c>
      <c r="Z394" s="117"/>
      <c r="AA394" s="117" t="s">
        <v>75</v>
      </c>
      <c r="AB394" s="127" t="s">
        <v>76</v>
      </c>
      <c r="AC394" s="117" t="s">
        <v>77</v>
      </c>
      <c r="AD394" s="117" t="s">
        <v>78</v>
      </c>
      <c r="AE394" s="13" t="s">
        <v>205</v>
      </c>
      <c r="AF394" s="6" t="s">
        <v>151</v>
      </c>
      <c r="AG394" s="117" t="s">
        <v>82</v>
      </c>
      <c r="AH394" s="117" t="s">
        <v>77</v>
      </c>
      <c r="AI394" s="117" t="s">
        <v>951</v>
      </c>
      <c r="AJ394" s="117"/>
      <c r="AK394" s="117" t="s">
        <v>912</v>
      </c>
      <c r="AL394" s="117"/>
      <c r="AM394" s="117"/>
      <c r="BF394" s="14">
        <v>45657.0</v>
      </c>
      <c r="BG394" s="7" t="s">
        <v>73</v>
      </c>
      <c r="BI394" s="15">
        <f t="shared" si="6"/>
        <v>71</v>
      </c>
      <c r="BJ394" s="15" t="str">
        <f t="shared" si="3"/>
        <v>&gt;55</v>
      </c>
      <c r="BL394" s="85"/>
      <c r="BM394" s="85"/>
      <c r="BN394" s="117" t="s">
        <v>151</v>
      </c>
    </row>
    <row r="395" ht="15.75" customHeight="1">
      <c r="A395" s="1">
        <v>419.0</v>
      </c>
      <c r="B395" s="2">
        <v>419.0</v>
      </c>
      <c r="C395" s="115">
        <v>45517.86221886574</v>
      </c>
      <c r="D395" s="18" t="s">
        <v>1361</v>
      </c>
      <c r="E395" s="116">
        <v>19164.0</v>
      </c>
      <c r="F395" s="117" t="s">
        <v>67</v>
      </c>
      <c r="G395" s="117" t="s">
        <v>1362</v>
      </c>
      <c r="H395" s="117">
        <v>1.156420483E9</v>
      </c>
      <c r="I395" s="117" t="s">
        <v>92</v>
      </c>
      <c r="J395" s="117" t="s">
        <v>70</v>
      </c>
      <c r="K395" s="117" t="s">
        <v>134</v>
      </c>
      <c r="L395" s="117">
        <v>81.0</v>
      </c>
      <c r="M395" s="117">
        <v>1.72</v>
      </c>
      <c r="N395" s="117" t="s">
        <v>73</v>
      </c>
      <c r="O395" s="117"/>
      <c r="P395" s="117" t="s">
        <v>74</v>
      </c>
      <c r="Q395" s="117"/>
      <c r="R395" s="117" t="s">
        <v>73</v>
      </c>
      <c r="S395" s="117" t="s">
        <v>73</v>
      </c>
      <c r="T395" s="117" t="s">
        <v>73</v>
      </c>
      <c r="U395" s="117" t="s">
        <v>73</v>
      </c>
      <c r="V395" s="117"/>
      <c r="W395" s="117"/>
      <c r="X395" s="117"/>
      <c r="Y395" s="117" t="s">
        <v>73</v>
      </c>
      <c r="Z395" s="117"/>
      <c r="AA395" s="117" t="s">
        <v>73</v>
      </c>
      <c r="AB395" s="118"/>
      <c r="AC395" s="117" t="s">
        <v>95</v>
      </c>
      <c r="AD395" s="117" t="s">
        <v>78</v>
      </c>
      <c r="AE395" s="117" t="s">
        <v>138</v>
      </c>
      <c r="AF395" s="6" t="s">
        <v>151</v>
      </c>
      <c r="AG395" s="117" t="s">
        <v>81</v>
      </c>
      <c r="AH395" s="117" t="s">
        <v>96</v>
      </c>
      <c r="AI395" s="117" t="s">
        <v>970</v>
      </c>
      <c r="AJ395" s="117"/>
      <c r="AK395" s="117" t="s">
        <v>918</v>
      </c>
      <c r="AL395" s="117"/>
      <c r="AM395" s="117"/>
      <c r="BF395" s="14">
        <v>45657.0</v>
      </c>
      <c r="BG395" s="7" t="s">
        <v>73</v>
      </c>
      <c r="BI395" s="15">
        <f t="shared" si="6"/>
        <v>72</v>
      </c>
      <c r="BJ395" s="15" t="str">
        <f t="shared" si="3"/>
        <v>&gt;55</v>
      </c>
      <c r="BL395" s="85"/>
      <c r="BM395" s="85"/>
      <c r="BN395" s="117" t="s">
        <v>151</v>
      </c>
    </row>
    <row r="396" ht="15.75" customHeight="1">
      <c r="A396" s="1">
        <v>420.0</v>
      </c>
      <c r="B396" s="2">
        <v>420.0</v>
      </c>
      <c r="C396" s="115">
        <v>45517.88309707176</v>
      </c>
      <c r="D396" s="18" t="s">
        <v>1363</v>
      </c>
      <c r="E396" s="116">
        <v>32693.0</v>
      </c>
      <c r="F396" s="117" t="s">
        <v>67</v>
      </c>
      <c r="G396" s="117" t="s">
        <v>1364</v>
      </c>
      <c r="H396" s="117">
        <v>1.138333919E9</v>
      </c>
      <c r="I396" s="117" t="s">
        <v>449</v>
      </c>
      <c r="J396" s="117" t="s">
        <v>85</v>
      </c>
      <c r="K396" s="117" t="s">
        <v>71</v>
      </c>
      <c r="L396" s="117">
        <v>53.0</v>
      </c>
      <c r="M396" s="117">
        <v>1.51</v>
      </c>
      <c r="N396" s="117" t="s">
        <v>75</v>
      </c>
      <c r="O396" s="117" t="s">
        <v>1365</v>
      </c>
      <c r="P396" s="117" t="s">
        <v>74</v>
      </c>
      <c r="Q396" s="117"/>
      <c r="R396" s="117" t="s">
        <v>73</v>
      </c>
      <c r="S396" s="117" t="s">
        <v>73</v>
      </c>
      <c r="T396" s="117" t="s">
        <v>73</v>
      </c>
      <c r="U396" s="117" t="s">
        <v>73</v>
      </c>
      <c r="V396" s="117"/>
      <c r="W396" s="117"/>
      <c r="X396" s="117"/>
      <c r="Y396" s="117" t="s">
        <v>73</v>
      </c>
      <c r="Z396" s="117"/>
      <c r="AA396" s="117" t="s">
        <v>75</v>
      </c>
      <c r="AB396" s="127" t="s">
        <v>76</v>
      </c>
      <c r="AC396" s="117" t="s">
        <v>82</v>
      </c>
      <c r="AD396" s="117" t="s">
        <v>78</v>
      </c>
      <c r="AE396" s="13" t="s">
        <v>205</v>
      </c>
      <c r="AF396" s="6" t="s">
        <v>80</v>
      </c>
      <c r="AG396" s="117" t="s">
        <v>81</v>
      </c>
      <c r="AH396" s="117" t="s">
        <v>77</v>
      </c>
      <c r="AI396" s="117" t="s">
        <v>989</v>
      </c>
      <c r="AJ396" s="117"/>
      <c r="AK396" s="117" t="s">
        <v>912</v>
      </c>
      <c r="AL396" s="117"/>
      <c r="AM396" s="117"/>
      <c r="BF396" s="14">
        <v>45657.0</v>
      </c>
      <c r="BG396" s="7" t="s">
        <v>73</v>
      </c>
      <c r="BI396" s="15">
        <f t="shared" si="6"/>
        <v>35</v>
      </c>
      <c r="BJ396" s="15" t="str">
        <f t="shared" si="3"/>
        <v>18-35</v>
      </c>
      <c r="BL396" s="85"/>
      <c r="BM396" s="85"/>
      <c r="BN396" s="117" t="s">
        <v>80</v>
      </c>
    </row>
    <row r="397" ht="15.75" customHeight="1">
      <c r="A397" s="1">
        <v>421.0</v>
      </c>
      <c r="B397" s="2">
        <v>421.0</v>
      </c>
      <c r="C397" s="146">
        <v>45551.54806508102</v>
      </c>
      <c r="D397" s="85" t="s">
        <v>1366</v>
      </c>
      <c r="E397" s="147">
        <v>27090.0</v>
      </c>
      <c r="F397" s="85" t="s">
        <v>67</v>
      </c>
      <c r="G397" s="85" t="s">
        <v>1367</v>
      </c>
      <c r="H397" s="85" t="s">
        <v>1368</v>
      </c>
      <c r="I397" s="85" t="s">
        <v>92</v>
      </c>
      <c r="J397" s="85" t="s">
        <v>1369</v>
      </c>
      <c r="K397" s="85" t="s">
        <v>86</v>
      </c>
      <c r="L397" s="85">
        <v>57.0</v>
      </c>
      <c r="M397" s="85">
        <v>1.6</v>
      </c>
      <c r="N397" s="85" t="s">
        <v>73</v>
      </c>
      <c r="P397" s="85" t="s">
        <v>1111</v>
      </c>
      <c r="R397" s="85" t="s">
        <v>73</v>
      </c>
      <c r="S397" s="85" t="s">
        <v>73</v>
      </c>
      <c r="T397" s="85" t="s">
        <v>73</v>
      </c>
      <c r="U397" s="85" t="s">
        <v>73</v>
      </c>
      <c r="Y397" s="85" t="s">
        <v>75</v>
      </c>
      <c r="Z397" s="148" t="s">
        <v>929</v>
      </c>
      <c r="AA397" s="85" t="s">
        <v>75</v>
      </c>
      <c r="AB397" s="149" t="s">
        <v>76</v>
      </c>
      <c r="AC397" s="85" t="s">
        <v>95</v>
      </c>
      <c r="AD397" s="85" t="s">
        <v>78</v>
      </c>
      <c r="AE397" s="85" t="s">
        <v>79</v>
      </c>
      <c r="AF397" s="6" t="s">
        <v>80</v>
      </c>
      <c r="AG397" s="85" t="s">
        <v>81</v>
      </c>
      <c r="AH397" s="85" t="s">
        <v>77</v>
      </c>
      <c r="AI397" s="85" t="s">
        <v>948</v>
      </c>
      <c r="AK397" s="85" t="s">
        <v>918</v>
      </c>
      <c r="AL397" s="85" t="s">
        <v>971</v>
      </c>
    </row>
    <row r="398" ht="15.75" customHeight="1">
      <c r="A398" s="1"/>
      <c r="B398" s="2"/>
      <c r="C398" s="7"/>
      <c r="D398" s="7"/>
      <c r="E398" s="150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15"/>
      <c r="BJ398" s="15"/>
      <c r="BK398" s="15"/>
      <c r="BL398" s="7"/>
      <c r="BM398" s="7"/>
      <c r="BN398" s="7"/>
    </row>
    <row r="399" ht="15.75" customHeight="1">
      <c r="A399" s="1"/>
      <c r="B399" s="2"/>
      <c r="C399" s="7"/>
      <c r="D399" s="7"/>
      <c r="E399" s="150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15"/>
      <c r="BJ399" s="15"/>
      <c r="BK399" s="15"/>
      <c r="BL399" s="7"/>
      <c r="BM399" s="7"/>
      <c r="BN399" s="7"/>
    </row>
    <row r="400" ht="15.75" customHeight="1">
      <c r="A400" s="1"/>
      <c r="B400" s="2"/>
      <c r="C400" s="7"/>
      <c r="D400" s="7"/>
      <c r="E400" s="150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15"/>
      <c r="BJ400" s="15"/>
      <c r="BK400" s="15"/>
      <c r="BL400" s="7"/>
      <c r="BM400" s="7"/>
      <c r="BN400" s="7"/>
    </row>
    <row r="401" ht="15.75" customHeight="1">
      <c r="A401" s="1"/>
      <c r="B401" s="2"/>
      <c r="C401" s="7"/>
      <c r="D401" s="7"/>
      <c r="E401" s="150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15"/>
      <c r="BJ401" s="15"/>
      <c r="BK401" s="15"/>
      <c r="BL401" s="7"/>
      <c r="BM401" s="7"/>
      <c r="BN401" s="7"/>
    </row>
    <row r="402" ht="15.75" customHeight="1">
      <c r="A402" s="1"/>
      <c r="B402" s="2"/>
      <c r="C402" s="7"/>
      <c r="D402" s="7"/>
      <c r="E402" s="150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15"/>
      <c r="BJ402" s="15"/>
      <c r="BK402" s="15"/>
      <c r="BL402" s="7"/>
      <c r="BM402" s="7"/>
      <c r="BN402" s="7"/>
    </row>
    <row r="403" ht="15.75" customHeight="1">
      <c r="A403" s="1"/>
      <c r="B403" s="2"/>
      <c r="C403" s="7"/>
      <c r="D403" s="7"/>
      <c r="E403" s="150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15"/>
      <c r="BJ403" s="15"/>
      <c r="BK403" s="15"/>
      <c r="BL403" s="7"/>
      <c r="BM403" s="7"/>
      <c r="BN403" s="7"/>
    </row>
    <row r="404" ht="15.75" customHeight="1">
      <c r="A404" s="1"/>
      <c r="B404" s="2"/>
      <c r="C404" s="7"/>
      <c r="D404" s="7"/>
      <c r="E404" s="150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15"/>
      <c r="BJ404" s="15"/>
      <c r="BK404" s="15"/>
      <c r="BL404" s="7"/>
      <c r="BM404" s="7"/>
      <c r="BN404" s="7"/>
    </row>
    <row r="405" ht="15.75" customHeight="1">
      <c r="A405" s="1"/>
      <c r="B405" s="2"/>
      <c r="C405" s="7"/>
      <c r="D405" s="7"/>
      <c r="E405" s="150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15"/>
      <c r="BJ405" s="15"/>
      <c r="BK405" s="15"/>
      <c r="BL405" s="7"/>
      <c r="BM405" s="7"/>
      <c r="BN405" s="7"/>
    </row>
    <row r="406" ht="15.75" customHeight="1">
      <c r="A406" s="1"/>
      <c r="B406" s="2"/>
      <c r="C406" s="7"/>
      <c r="D406" s="7"/>
      <c r="E406" s="150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15"/>
      <c r="BJ406" s="15"/>
      <c r="BK406" s="15"/>
      <c r="BL406" s="7"/>
      <c r="BM406" s="7"/>
      <c r="BN406" s="7"/>
    </row>
    <row r="407" ht="15.75" customHeight="1">
      <c r="A407" s="1"/>
      <c r="B407" s="2"/>
      <c r="C407" s="7"/>
      <c r="D407" s="7"/>
      <c r="E407" s="150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15"/>
      <c r="BJ407" s="15"/>
      <c r="BK407" s="15"/>
      <c r="BL407" s="7"/>
      <c r="BM407" s="7"/>
      <c r="BN407" s="7"/>
    </row>
    <row r="408" ht="15.75" customHeight="1">
      <c r="A408" s="1"/>
      <c r="B408" s="2"/>
      <c r="C408" s="7"/>
      <c r="D408" s="7"/>
      <c r="E408" s="150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15"/>
      <c r="BJ408" s="15"/>
      <c r="BK408" s="15"/>
      <c r="BL408" s="7"/>
      <c r="BM408" s="7"/>
      <c r="BN408" s="7"/>
    </row>
    <row r="409" ht="15.75" customHeight="1">
      <c r="A409" s="1"/>
      <c r="B409" s="2"/>
      <c r="C409" s="7"/>
      <c r="D409" s="7"/>
      <c r="E409" s="150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15"/>
      <c r="BJ409" s="15"/>
      <c r="BK409" s="15"/>
      <c r="BL409" s="7"/>
      <c r="BM409" s="7"/>
      <c r="BN409" s="7"/>
    </row>
    <row r="410" ht="15.75" customHeight="1">
      <c r="A410" s="1"/>
      <c r="B410" s="2"/>
      <c r="C410" s="7"/>
      <c r="D410" s="7"/>
      <c r="E410" s="150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15"/>
      <c r="BJ410" s="15"/>
      <c r="BK410" s="15"/>
      <c r="BL410" s="7"/>
      <c r="BM410" s="7"/>
      <c r="BN410" s="7"/>
    </row>
    <row r="411" ht="15.75" customHeight="1">
      <c r="A411" s="1"/>
      <c r="B411" s="2"/>
      <c r="C411" s="7"/>
      <c r="D411" s="7"/>
      <c r="E411" s="150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15"/>
      <c r="BJ411" s="15"/>
      <c r="BK411" s="15"/>
      <c r="BL411" s="7"/>
      <c r="BM411" s="7"/>
      <c r="BN411" s="7"/>
    </row>
    <row r="412" ht="15.75" customHeight="1">
      <c r="A412" s="1"/>
      <c r="B412" s="2"/>
      <c r="C412" s="7"/>
      <c r="D412" s="7"/>
      <c r="E412" s="150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15"/>
      <c r="BJ412" s="15"/>
      <c r="BK412" s="15"/>
      <c r="BL412" s="7"/>
      <c r="BM412" s="7"/>
      <c r="BN412" s="7"/>
    </row>
    <row r="413" ht="15.75" customHeight="1">
      <c r="A413" s="1"/>
      <c r="B413" s="2"/>
      <c r="C413" s="7"/>
      <c r="D413" s="7"/>
      <c r="E413" s="150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15"/>
      <c r="BJ413" s="15"/>
      <c r="BK413" s="15"/>
      <c r="BL413" s="7"/>
      <c r="BM413" s="7"/>
      <c r="BN413" s="7"/>
    </row>
    <row r="414" ht="15.75" customHeight="1">
      <c r="A414" s="1"/>
      <c r="B414" s="2"/>
      <c r="C414" s="7"/>
      <c r="D414" s="7"/>
      <c r="E414" s="150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15"/>
      <c r="BJ414" s="15"/>
      <c r="BK414" s="15"/>
      <c r="BL414" s="7"/>
      <c r="BM414" s="7"/>
      <c r="BN414" s="7"/>
    </row>
    <row r="415" ht="15.75" customHeight="1">
      <c r="A415" s="1"/>
      <c r="B415" s="2"/>
      <c r="C415" s="7"/>
      <c r="D415" s="7"/>
      <c r="E415" s="150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15"/>
      <c r="BJ415" s="15"/>
      <c r="BK415" s="15"/>
      <c r="BL415" s="7"/>
      <c r="BM415" s="7"/>
      <c r="BN415" s="7"/>
    </row>
    <row r="416" ht="15.75" customHeight="1">
      <c r="A416" s="1"/>
      <c r="B416" s="2"/>
      <c r="C416" s="7"/>
      <c r="D416" s="7"/>
      <c r="E416" s="150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15"/>
      <c r="BJ416" s="15"/>
      <c r="BK416" s="15"/>
      <c r="BL416" s="7"/>
      <c r="BM416" s="7"/>
      <c r="BN416" s="7"/>
    </row>
    <row r="417" ht="15.75" customHeight="1">
      <c r="A417" s="1"/>
      <c r="B417" s="2"/>
      <c r="C417" s="7"/>
      <c r="D417" s="7"/>
      <c r="E417" s="150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15"/>
      <c r="BJ417" s="15"/>
      <c r="BK417" s="15"/>
      <c r="BL417" s="7"/>
      <c r="BM417" s="7"/>
      <c r="BN417" s="7"/>
    </row>
    <row r="418" ht="15.75" customHeight="1">
      <c r="A418" s="1"/>
      <c r="B418" s="2"/>
      <c r="C418" s="7"/>
      <c r="D418" s="7"/>
      <c r="E418" s="150"/>
      <c r="F418" s="7"/>
      <c r="G418" s="7"/>
      <c r="H418" s="151"/>
      <c r="I418" s="151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15"/>
      <c r="BJ418" s="15"/>
      <c r="BK418" s="15"/>
      <c r="BL418" s="7"/>
      <c r="BM418" s="7"/>
      <c r="BN418" s="7"/>
    </row>
    <row r="419" ht="15.75" customHeight="1">
      <c r="A419" s="1"/>
      <c r="B419" s="2"/>
      <c r="C419" s="7"/>
      <c r="D419" s="7"/>
      <c r="E419" s="150"/>
      <c r="F419" s="7"/>
      <c r="G419" s="7"/>
      <c r="H419" s="151"/>
      <c r="I419" s="151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15"/>
      <c r="BJ419" s="15"/>
      <c r="BK419" s="15"/>
      <c r="BL419" s="7"/>
      <c r="BM419" s="7"/>
      <c r="BN419" s="7"/>
    </row>
    <row r="420" ht="15.75" customHeight="1">
      <c r="A420" s="1"/>
      <c r="B420" s="2"/>
      <c r="C420" s="7"/>
      <c r="D420" s="7"/>
      <c r="E420" s="150"/>
      <c r="F420" s="7"/>
      <c r="G420" s="7"/>
      <c r="H420" s="151"/>
      <c r="I420" s="151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15"/>
      <c r="BJ420" s="15"/>
      <c r="BK420" s="15"/>
      <c r="BL420" s="7"/>
      <c r="BM420" s="7"/>
      <c r="BN420" s="7"/>
    </row>
    <row r="421" ht="15.75" customHeight="1">
      <c r="A421" s="1"/>
      <c r="B421" s="2"/>
      <c r="C421" s="7"/>
      <c r="D421" s="7"/>
      <c r="E421" s="150"/>
      <c r="F421" s="7"/>
      <c r="G421" s="7"/>
      <c r="H421" s="151"/>
      <c r="I421" s="151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15"/>
      <c r="BJ421" s="15"/>
      <c r="BK421" s="15"/>
      <c r="BL421" s="7"/>
      <c r="BM421" s="7"/>
      <c r="BN421" s="7"/>
    </row>
    <row r="422" ht="15.75" customHeight="1">
      <c r="A422" s="1"/>
      <c r="B422" s="2"/>
      <c r="C422" s="7"/>
      <c r="D422" s="7"/>
      <c r="E422" s="150"/>
      <c r="F422" s="7"/>
      <c r="G422" s="7"/>
      <c r="H422" s="151"/>
      <c r="I422" s="151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15"/>
      <c r="BJ422" s="15"/>
      <c r="BK422" s="15"/>
      <c r="BL422" s="7"/>
      <c r="BM422" s="7"/>
      <c r="BN422" s="7"/>
    </row>
    <row r="423" ht="15.75" customHeight="1">
      <c r="A423" s="1"/>
      <c r="B423" s="2"/>
      <c r="C423" s="7"/>
      <c r="D423" s="7"/>
      <c r="E423" s="150"/>
      <c r="F423" s="7"/>
      <c r="G423" s="7"/>
      <c r="H423" s="151"/>
      <c r="I423" s="151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15"/>
      <c r="BJ423" s="15"/>
      <c r="BK423" s="15"/>
      <c r="BL423" s="7"/>
      <c r="BM423" s="7"/>
      <c r="BN423" s="7"/>
    </row>
    <row r="424" ht="15.75" customHeight="1">
      <c r="A424" s="1"/>
      <c r="B424" s="2"/>
      <c r="C424" s="7"/>
      <c r="D424" s="7"/>
      <c r="E424" s="150"/>
      <c r="F424" s="7"/>
      <c r="G424" s="7"/>
      <c r="H424" s="151"/>
      <c r="I424" s="151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15"/>
      <c r="BJ424" s="15"/>
      <c r="BK424" s="15"/>
      <c r="BL424" s="7"/>
      <c r="BM424" s="7"/>
      <c r="BN424" s="7"/>
    </row>
    <row r="425" ht="15.75" customHeight="1">
      <c r="A425" s="1"/>
      <c r="B425" s="2"/>
      <c r="C425" s="7"/>
      <c r="D425" s="7"/>
      <c r="E425" s="150"/>
      <c r="F425" s="7"/>
      <c r="G425" s="7"/>
      <c r="H425" s="151"/>
      <c r="I425" s="151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15"/>
      <c r="BJ425" s="15"/>
      <c r="BK425" s="15"/>
      <c r="BL425" s="7"/>
      <c r="BM425" s="7"/>
      <c r="BN425" s="7"/>
    </row>
    <row r="426" ht="15.75" customHeight="1">
      <c r="A426" s="1"/>
      <c r="B426" s="2"/>
      <c r="C426" s="7"/>
      <c r="D426" s="7"/>
      <c r="E426" s="150"/>
      <c r="F426" s="7"/>
      <c r="G426" s="7"/>
      <c r="H426" s="151"/>
      <c r="I426" s="151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15"/>
      <c r="BJ426" s="15"/>
      <c r="BK426" s="15"/>
      <c r="BL426" s="7"/>
      <c r="BM426" s="7"/>
      <c r="BN426" s="7"/>
    </row>
    <row r="427" ht="15.75" customHeight="1">
      <c r="A427" s="1"/>
      <c r="B427" s="2"/>
      <c r="C427" s="7"/>
      <c r="D427" s="7"/>
      <c r="E427" s="150"/>
      <c r="F427" s="7"/>
      <c r="G427" s="7"/>
      <c r="H427" s="151"/>
      <c r="I427" s="151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15"/>
      <c r="BJ427" s="15"/>
      <c r="BK427" s="15"/>
      <c r="BL427" s="7"/>
      <c r="BM427" s="7"/>
      <c r="BN427" s="7"/>
    </row>
    <row r="428" ht="15.75" customHeight="1">
      <c r="A428" s="1"/>
      <c r="B428" s="2"/>
      <c r="C428" s="7"/>
      <c r="D428" s="7"/>
      <c r="E428" s="150"/>
      <c r="F428" s="7"/>
      <c r="G428" s="7"/>
      <c r="H428" s="151"/>
      <c r="I428" s="151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15"/>
      <c r="BJ428" s="15"/>
      <c r="BK428" s="15"/>
      <c r="BL428" s="7"/>
      <c r="BM428" s="7"/>
      <c r="BN428" s="7"/>
    </row>
    <row r="429" ht="15.75" customHeight="1">
      <c r="A429" s="1"/>
      <c r="B429" s="2"/>
      <c r="C429" s="7"/>
      <c r="D429" s="7"/>
      <c r="E429" s="150"/>
      <c r="F429" s="7"/>
      <c r="G429" s="7"/>
      <c r="H429" s="151"/>
      <c r="I429" s="151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15"/>
      <c r="BJ429" s="15"/>
      <c r="BK429" s="15"/>
      <c r="BL429" s="7"/>
      <c r="BM429" s="7"/>
      <c r="BN429" s="7"/>
    </row>
    <row r="430" ht="15.75" customHeight="1">
      <c r="A430" s="1"/>
      <c r="B430" s="2"/>
      <c r="C430" s="7"/>
      <c r="D430" s="7"/>
      <c r="E430" s="150"/>
      <c r="F430" s="7"/>
      <c r="G430" s="7"/>
      <c r="H430" s="151"/>
      <c r="I430" s="151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15"/>
      <c r="BJ430" s="15"/>
      <c r="BK430" s="15"/>
      <c r="BL430" s="7"/>
      <c r="BM430" s="7"/>
      <c r="BN430" s="7"/>
    </row>
    <row r="431" ht="15.75" customHeight="1">
      <c r="A431" s="1"/>
      <c r="B431" s="2"/>
      <c r="C431" s="7"/>
      <c r="D431" s="7"/>
      <c r="E431" s="150"/>
      <c r="F431" s="7"/>
      <c r="G431" s="7"/>
      <c r="H431" s="151"/>
      <c r="I431" s="151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15"/>
      <c r="BJ431" s="15"/>
      <c r="BK431" s="15"/>
      <c r="BL431" s="7"/>
      <c r="BM431" s="7"/>
      <c r="BN431" s="7"/>
    </row>
    <row r="432" ht="15.75" customHeight="1">
      <c r="A432" s="1"/>
      <c r="B432" s="2"/>
      <c r="C432" s="7"/>
      <c r="D432" s="7"/>
      <c r="E432" s="150"/>
      <c r="F432" s="7"/>
      <c r="G432" s="7"/>
      <c r="H432" s="151"/>
      <c r="I432" s="151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15"/>
      <c r="BJ432" s="15"/>
      <c r="BK432" s="15"/>
      <c r="BL432" s="7"/>
      <c r="BM432" s="7"/>
      <c r="BN432" s="7"/>
    </row>
    <row r="433" ht="15.75" customHeight="1">
      <c r="A433" s="1"/>
      <c r="B433" s="2"/>
      <c r="C433" s="7"/>
      <c r="D433" s="7"/>
      <c r="E433" s="150"/>
      <c r="F433" s="7"/>
      <c r="G433" s="7"/>
      <c r="H433" s="151"/>
      <c r="I433" s="151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15"/>
      <c r="BJ433" s="15"/>
      <c r="BK433" s="15"/>
      <c r="BL433" s="7"/>
      <c r="BM433" s="7"/>
      <c r="BN433" s="7"/>
    </row>
    <row r="434" ht="15.75" customHeight="1">
      <c r="A434" s="1"/>
      <c r="B434" s="2"/>
      <c r="C434" s="7"/>
      <c r="D434" s="7"/>
      <c r="E434" s="150"/>
      <c r="F434" s="7"/>
      <c r="G434" s="7"/>
      <c r="H434" s="151"/>
      <c r="I434" s="151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15"/>
      <c r="BJ434" s="15"/>
      <c r="BK434" s="15"/>
      <c r="BL434" s="7"/>
      <c r="BM434" s="7"/>
      <c r="BN434" s="7"/>
    </row>
    <row r="435" ht="15.75" customHeight="1">
      <c r="A435" s="1"/>
      <c r="B435" s="2"/>
      <c r="C435" s="7"/>
      <c r="D435" s="7"/>
      <c r="E435" s="150"/>
      <c r="F435" s="7"/>
      <c r="G435" s="7"/>
      <c r="H435" s="151"/>
      <c r="I435" s="151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15"/>
      <c r="BJ435" s="15"/>
      <c r="BK435" s="15"/>
      <c r="BL435" s="7"/>
      <c r="BM435" s="7"/>
      <c r="BN435" s="7"/>
    </row>
    <row r="436" ht="15.75" customHeight="1">
      <c r="A436" s="1"/>
      <c r="B436" s="2"/>
      <c r="C436" s="7"/>
      <c r="D436" s="7"/>
      <c r="E436" s="150"/>
      <c r="F436" s="7"/>
      <c r="G436" s="7"/>
      <c r="H436" s="151"/>
      <c r="I436" s="151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15"/>
      <c r="BJ436" s="15"/>
      <c r="BK436" s="15"/>
      <c r="BL436" s="7"/>
      <c r="BM436" s="7"/>
      <c r="BN436" s="7"/>
    </row>
    <row r="437" ht="15.75" customHeight="1">
      <c r="A437" s="1"/>
      <c r="B437" s="2"/>
      <c r="C437" s="7"/>
      <c r="D437" s="7"/>
      <c r="E437" s="150"/>
      <c r="F437" s="7"/>
      <c r="G437" s="7"/>
      <c r="H437" s="151"/>
      <c r="I437" s="151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15"/>
      <c r="BJ437" s="15"/>
      <c r="BK437" s="15"/>
      <c r="BL437" s="7"/>
      <c r="BM437" s="7"/>
      <c r="BN437" s="7"/>
    </row>
    <row r="438" ht="15.75" customHeight="1">
      <c r="A438" s="1"/>
      <c r="B438" s="2"/>
      <c r="C438" s="7"/>
      <c r="D438" s="7"/>
      <c r="E438" s="150"/>
      <c r="F438" s="7"/>
      <c r="G438" s="7"/>
      <c r="H438" s="151"/>
      <c r="I438" s="151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15"/>
      <c r="BJ438" s="15"/>
      <c r="BK438" s="15"/>
      <c r="BL438" s="7"/>
      <c r="BM438" s="7"/>
      <c r="BN438" s="7"/>
    </row>
    <row r="439" ht="15.75" customHeight="1">
      <c r="A439" s="1"/>
      <c r="B439" s="2"/>
      <c r="C439" s="7"/>
      <c r="D439" s="7"/>
      <c r="E439" s="150"/>
      <c r="F439" s="7"/>
      <c r="G439" s="7"/>
      <c r="H439" s="151"/>
      <c r="I439" s="151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15"/>
      <c r="BJ439" s="15"/>
      <c r="BK439" s="15"/>
      <c r="BL439" s="7"/>
      <c r="BM439" s="7"/>
      <c r="BN439" s="7"/>
    </row>
    <row r="440" ht="15.75" customHeight="1">
      <c r="A440" s="1"/>
      <c r="B440" s="2"/>
      <c r="C440" s="7"/>
      <c r="D440" s="7"/>
      <c r="E440" s="150"/>
      <c r="F440" s="7"/>
      <c r="G440" s="7"/>
      <c r="H440" s="151"/>
      <c r="I440" s="151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15"/>
      <c r="BJ440" s="15"/>
      <c r="BK440" s="15"/>
      <c r="BL440" s="7"/>
      <c r="BM440" s="7"/>
      <c r="BN440" s="7"/>
    </row>
    <row r="441" ht="15.75" customHeight="1">
      <c r="A441" s="1"/>
      <c r="B441" s="2"/>
      <c r="C441" s="7"/>
      <c r="D441" s="7"/>
      <c r="E441" s="150"/>
      <c r="F441" s="7"/>
      <c r="G441" s="7"/>
      <c r="H441" s="151"/>
      <c r="I441" s="151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15"/>
      <c r="BJ441" s="15"/>
      <c r="BK441" s="15"/>
      <c r="BL441" s="7"/>
      <c r="BM441" s="7"/>
      <c r="BN441" s="7"/>
    </row>
    <row r="442" ht="15.75" customHeight="1">
      <c r="A442" s="1"/>
      <c r="B442" s="2"/>
      <c r="C442" s="7"/>
      <c r="D442" s="7"/>
      <c r="E442" s="150"/>
      <c r="F442" s="7"/>
      <c r="G442" s="7"/>
      <c r="H442" s="151"/>
      <c r="I442" s="151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15"/>
      <c r="BJ442" s="15"/>
      <c r="BK442" s="15"/>
      <c r="BL442" s="7"/>
      <c r="BM442" s="7"/>
      <c r="BN442" s="7"/>
    </row>
    <row r="443" ht="15.75" customHeight="1">
      <c r="A443" s="1"/>
      <c r="B443" s="2"/>
      <c r="C443" s="7"/>
      <c r="D443" s="7"/>
      <c r="E443" s="150"/>
      <c r="F443" s="7"/>
      <c r="G443" s="7"/>
      <c r="H443" s="151"/>
      <c r="I443" s="151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15"/>
      <c r="BJ443" s="15"/>
      <c r="BK443" s="15"/>
      <c r="BL443" s="7"/>
      <c r="BM443" s="7"/>
      <c r="BN443" s="7"/>
    </row>
    <row r="444" ht="15.75" customHeight="1">
      <c r="A444" s="1"/>
      <c r="B444" s="2"/>
      <c r="C444" s="7"/>
      <c r="D444" s="7"/>
      <c r="E444" s="150"/>
      <c r="F444" s="7"/>
      <c r="G444" s="7"/>
      <c r="H444" s="151"/>
      <c r="I444" s="151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15"/>
      <c r="BJ444" s="15"/>
      <c r="BK444" s="15"/>
      <c r="BL444" s="7"/>
      <c r="BM444" s="7"/>
      <c r="BN444" s="7"/>
    </row>
    <row r="445" ht="15.75" customHeight="1">
      <c r="A445" s="1"/>
      <c r="B445" s="2"/>
      <c r="C445" s="7"/>
      <c r="D445" s="7"/>
      <c r="E445" s="150"/>
      <c r="F445" s="7"/>
      <c r="G445" s="7"/>
      <c r="H445" s="151"/>
      <c r="I445" s="151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15"/>
      <c r="BJ445" s="15"/>
      <c r="BK445" s="15"/>
      <c r="BL445" s="7"/>
      <c r="BM445" s="7"/>
      <c r="BN445" s="7"/>
    </row>
    <row r="446" ht="15.75" customHeight="1">
      <c r="A446" s="1"/>
      <c r="B446" s="2"/>
      <c r="C446" s="7"/>
      <c r="D446" s="7"/>
      <c r="E446" s="150"/>
      <c r="F446" s="7"/>
      <c r="G446" s="7"/>
      <c r="H446" s="151"/>
      <c r="I446" s="151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15"/>
      <c r="BJ446" s="15"/>
      <c r="BK446" s="15"/>
      <c r="BL446" s="7"/>
      <c r="BM446" s="7"/>
      <c r="BN446" s="7"/>
    </row>
    <row r="447" ht="15.75" customHeight="1">
      <c r="A447" s="1"/>
      <c r="B447" s="2"/>
      <c r="C447" s="7"/>
      <c r="D447" s="7"/>
      <c r="E447" s="150"/>
      <c r="F447" s="7"/>
      <c r="G447" s="7"/>
      <c r="H447" s="151"/>
      <c r="I447" s="151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15"/>
      <c r="BJ447" s="15"/>
      <c r="BK447" s="15"/>
      <c r="BL447" s="7"/>
      <c r="BM447" s="7"/>
      <c r="BN447" s="7"/>
    </row>
    <row r="448" ht="15.75" customHeight="1">
      <c r="A448" s="1"/>
      <c r="B448" s="2"/>
      <c r="C448" s="7"/>
      <c r="D448" s="7"/>
      <c r="E448" s="150"/>
      <c r="F448" s="7"/>
      <c r="G448" s="7"/>
      <c r="H448" s="151"/>
      <c r="I448" s="151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15"/>
      <c r="BJ448" s="15"/>
      <c r="BK448" s="15"/>
      <c r="BL448" s="7"/>
      <c r="BM448" s="7"/>
      <c r="BN448" s="7"/>
    </row>
    <row r="449" ht="15.75" customHeight="1">
      <c r="A449" s="1"/>
      <c r="B449" s="2"/>
      <c r="C449" s="7"/>
      <c r="D449" s="7"/>
      <c r="E449" s="150"/>
      <c r="F449" s="7"/>
      <c r="G449" s="7"/>
      <c r="H449" s="151"/>
      <c r="I449" s="151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15"/>
      <c r="BJ449" s="15"/>
      <c r="BK449" s="15"/>
      <c r="BL449" s="7"/>
      <c r="BM449" s="7"/>
      <c r="BN449" s="7"/>
    </row>
    <row r="450" ht="15.75" customHeight="1">
      <c r="A450" s="1"/>
      <c r="B450" s="2"/>
      <c r="C450" s="7"/>
      <c r="D450" s="7"/>
      <c r="E450" s="150"/>
      <c r="F450" s="7"/>
      <c r="G450" s="7"/>
      <c r="H450" s="151"/>
      <c r="I450" s="151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15"/>
      <c r="BJ450" s="15"/>
      <c r="BK450" s="15"/>
      <c r="BL450" s="7"/>
      <c r="BM450" s="7"/>
      <c r="BN450" s="7"/>
    </row>
    <row r="451" ht="15.75" customHeight="1">
      <c r="A451" s="1"/>
      <c r="B451" s="2"/>
      <c r="C451" s="7"/>
      <c r="D451" s="7"/>
      <c r="E451" s="150"/>
      <c r="F451" s="7"/>
      <c r="G451" s="7"/>
      <c r="H451" s="151"/>
      <c r="I451" s="151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15"/>
      <c r="BJ451" s="15"/>
      <c r="BK451" s="15"/>
      <c r="BL451" s="7"/>
      <c r="BM451" s="7"/>
      <c r="BN451" s="7"/>
    </row>
    <row r="452" ht="15.75" customHeight="1">
      <c r="A452" s="1"/>
      <c r="B452" s="2"/>
      <c r="C452" s="7"/>
      <c r="D452" s="7"/>
      <c r="E452" s="150"/>
      <c r="F452" s="7"/>
      <c r="G452" s="7"/>
      <c r="H452" s="151"/>
      <c r="I452" s="151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15"/>
      <c r="BJ452" s="15"/>
      <c r="BK452" s="15"/>
      <c r="BL452" s="7"/>
      <c r="BM452" s="7"/>
      <c r="BN452" s="7"/>
    </row>
    <row r="453" ht="15.75" customHeight="1">
      <c r="A453" s="1"/>
      <c r="B453" s="2"/>
      <c r="C453" s="7"/>
      <c r="D453" s="7"/>
      <c r="E453" s="150"/>
      <c r="F453" s="7"/>
      <c r="G453" s="7"/>
      <c r="H453" s="151"/>
      <c r="I453" s="151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15"/>
      <c r="BJ453" s="15"/>
      <c r="BK453" s="15"/>
      <c r="BL453" s="7"/>
      <c r="BM453" s="7"/>
      <c r="BN453" s="7"/>
    </row>
    <row r="454" ht="15.75" customHeight="1">
      <c r="A454" s="1"/>
      <c r="B454" s="2"/>
      <c r="C454" s="7"/>
      <c r="D454" s="7"/>
      <c r="E454" s="150"/>
      <c r="F454" s="7"/>
      <c r="G454" s="7"/>
      <c r="H454" s="151"/>
      <c r="I454" s="151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15"/>
      <c r="BJ454" s="15"/>
      <c r="BK454" s="15"/>
      <c r="BL454" s="7"/>
      <c r="BM454" s="7"/>
      <c r="BN454" s="7"/>
    </row>
    <row r="455" ht="15.75" customHeight="1">
      <c r="A455" s="1"/>
      <c r="B455" s="2"/>
      <c r="C455" s="7"/>
      <c r="D455" s="7"/>
      <c r="E455" s="150"/>
      <c r="F455" s="7"/>
      <c r="G455" s="7"/>
      <c r="H455" s="151"/>
      <c r="I455" s="151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15"/>
      <c r="BJ455" s="15"/>
      <c r="BK455" s="15"/>
      <c r="BL455" s="7"/>
      <c r="BM455" s="7"/>
      <c r="BN455" s="7"/>
    </row>
    <row r="456" ht="15.75" customHeight="1">
      <c r="A456" s="1"/>
      <c r="B456" s="2"/>
      <c r="C456" s="7"/>
      <c r="D456" s="7"/>
      <c r="E456" s="150"/>
      <c r="F456" s="7"/>
      <c r="G456" s="7"/>
      <c r="H456" s="151"/>
      <c r="I456" s="151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15"/>
      <c r="BJ456" s="15"/>
      <c r="BK456" s="15"/>
      <c r="BL456" s="7"/>
      <c r="BM456" s="7"/>
      <c r="BN456" s="7"/>
    </row>
    <row r="457" ht="15.75" customHeight="1">
      <c r="A457" s="1"/>
      <c r="B457" s="2"/>
      <c r="C457" s="7"/>
      <c r="D457" s="7"/>
      <c r="E457" s="150"/>
      <c r="F457" s="7"/>
      <c r="G457" s="7"/>
      <c r="H457" s="151"/>
      <c r="I457" s="151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15"/>
      <c r="BJ457" s="15"/>
      <c r="BK457" s="15"/>
      <c r="BL457" s="7"/>
      <c r="BM457" s="7"/>
      <c r="BN457" s="7"/>
    </row>
    <row r="458" ht="15.75" customHeight="1">
      <c r="A458" s="1"/>
      <c r="B458" s="2"/>
      <c r="C458" s="7"/>
      <c r="D458" s="7"/>
      <c r="E458" s="150"/>
      <c r="F458" s="7"/>
      <c r="G458" s="7"/>
      <c r="H458" s="151"/>
      <c r="I458" s="151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15"/>
      <c r="BJ458" s="15"/>
      <c r="BK458" s="15"/>
      <c r="BL458" s="7"/>
      <c r="BM458" s="7"/>
      <c r="BN458" s="7"/>
    </row>
    <row r="459" ht="15.75" customHeight="1">
      <c r="A459" s="1"/>
      <c r="B459" s="2"/>
      <c r="C459" s="7"/>
      <c r="D459" s="7"/>
      <c r="E459" s="150"/>
      <c r="F459" s="7"/>
      <c r="G459" s="7"/>
      <c r="H459" s="151"/>
      <c r="I459" s="151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15"/>
      <c r="BJ459" s="15"/>
      <c r="BK459" s="15"/>
      <c r="BL459" s="7"/>
      <c r="BM459" s="7"/>
      <c r="BN459" s="7"/>
    </row>
    <row r="460" ht="15.75" customHeight="1">
      <c r="A460" s="1"/>
      <c r="B460" s="2"/>
      <c r="C460" s="7"/>
      <c r="D460" s="7"/>
      <c r="E460" s="150"/>
      <c r="F460" s="7"/>
      <c r="G460" s="7"/>
      <c r="H460" s="151"/>
      <c r="I460" s="151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15"/>
      <c r="BJ460" s="15"/>
      <c r="BK460" s="15"/>
      <c r="BL460" s="7"/>
      <c r="BM460" s="7"/>
      <c r="BN460" s="7"/>
    </row>
    <row r="461" ht="15.75" customHeight="1">
      <c r="A461" s="1"/>
      <c r="B461" s="2"/>
      <c r="C461" s="7"/>
      <c r="D461" s="7"/>
      <c r="E461" s="150"/>
      <c r="F461" s="7"/>
      <c r="G461" s="7"/>
      <c r="H461" s="151"/>
      <c r="I461" s="151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15"/>
      <c r="BJ461" s="15"/>
      <c r="BK461" s="15"/>
      <c r="BL461" s="7"/>
      <c r="BM461" s="7"/>
      <c r="BN461" s="7"/>
    </row>
    <row r="462" ht="15.75" customHeight="1">
      <c r="A462" s="1"/>
      <c r="B462" s="2"/>
      <c r="C462" s="7"/>
      <c r="D462" s="7"/>
      <c r="E462" s="150"/>
      <c r="F462" s="7"/>
      <c r="G462" s="7"/>
      <c r="H462" s="151"/>
      <c r="I462" s="151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15"/>
      <c r="BJ462" s="15"/>
      <c r="BK462" s="15"/>
      <c r="BL462" s="7"/>
      <c r="BM462" s="7"/>
      <c r="BN462" s="7"/>
    </row>
    <row r="463" ht="15.75" customHeight="1">
      <c r="A463" s="1"/>
      <c r="B463" s="2"/>
      <c r="C463" s="7"/>
      <c r="D463" s="7"/>
      <c r="E463" s="150"/>
      <c r="F463" s="7"/>
      <c r="G463" s="7"/>
      <c r="H463" s="151"/>
      <c r="I463" s="151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15"/>
      <c r="BJ463" s="15"/>
      <c r="BK463" s="15"/>
      <c r="BL463" s="7"/>
      <c r="BM463" s="7"/>
      <c r="BN463" s="7"/>
    </row>
    <row r="464" ht="15.75" customHeight="1">
      <c r="A464" s="1"/>
      <c r="B464" s="2"/>
      <c r="C464" s="7"/>
      <c r="D464" s="7"/>
      <c r="E464" s="150"/>
      <c r="F464" s="7"/>
      <c r="G464" s="7"/>
      <c r="H464" s="151"/>
      <c r="I464" s="151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15"/>
      <c r="BJ464" s="15"/>
      <c r="BK464" s="15"/>
      <c r="BL464" s="7"/>
      <c r="BM464" s="7"/>
      <c r="BN464" s="7"/>
    </row>
    <row r="465" ht="15.75" customHeight="1">
      <c r="A465" s="1"/>
      <c r="B465" s="2"/>
      <c r="C465" s="7"/>
      <c r="D465" s="7"/>
      <c r="E465" s="150"/>
      <c r="F465" s="7"/>
      <c r="G465" s="7"/>
      <c r="H465" s="151"/>
      <c r="I465" s="151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15"/>
      <c r="BJ465" s="15"/>
      <c r="BK465" s="15"/>
      <c r="BL465" s="7"/>
      <c r="BM465" s="7"/>
      <c r="BN465" s="7"/>
    </row>
    <row r="466" ht="15.75" customHeight="1">
      <c r="A466" s="1"/>
      <c r="B466" s="2"/>
      <c r="C466" s="7"/>
      <c r="D466" s="7"/>
      <c r="E466" s="150"/>
      <c r="F466" s="7"/>
      <c r="G466" s="7"/>
      <c r="H466" s="151"/>
      <c r="I466" s="151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15"/>
      <c r="BJ466" s="15"/>
      <c r="BK466" s="15"/>
      <c r="BL466" s="7"/>
      <c r="BM466" s="7"/>
      <c r="BN466" s="7"/>
    </row>
    <row r="467" ht="15.75" customHeight="1">
      <c r="A467" s="1"/>
      <c r="B467" s="2"/>
      <c r="C467" s="7"/>
      <c r="D467" s="7"/>
      <c r="E467" s="150"/>
      <c r="F467" s="7"/>
      <c r="G467" s="7"/>
      <c r="H467" s="151"/>
      <c r="I467" s="151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15"/>
      <c r="BJ467" s="15"/>
      <c r="BK467" s="15"/>
      <c r="BL467" s="7"/>
      <c r="BM467" s="7"/>
      <c r="BN467" s="7"/>
    </row>
    <row r="468" ht="15.75" customHeight="1">
      <c r="A468" s="1"/>
      <c r="B468" s="2"/>
      <c r="C468" s="7"/>
      <c r="D468" s="7"/>
      <c r="E468" s="150"/>
      <c r="F468" s="7"/>
      <c r="G468" s="7"/>
      <c r="H468" s="151"/>
      <c r="I468" s="151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15"/>
      <c r="BJ468" s="15"/>
      <c r="BK468" s="15"/>
      <c r="BL468" s="7"/>
      <c r="BM468" s="7"/>
      <c r="BN468" s="7"/>
    </row>
    <row r="469" ht="15.75" customHeight="1">
      <c r="A469" s="1"/>
      <c r="B469" s="2"/>
      <c r="C469" s="7"/>
      <c r="D469" s="7"/>
      <c r="E469" s="150"/>
      <c r="F469" s="7"/>
      <c r="G469" s="7"/>
      <c r="H469" s="151"/>
      <c r="I469" s="151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15"/>
      <c r="BJ469" s="15"/>
      <c r="BK469" s="15"/>
      <c r="BL469" s="7"/>
      <c r="BM469" s="7"/>
      <c r="BN469" s="7"/>
    </row>
    <row r="470" ht="15.75" customHeight="1">
      <c r="A470" s="1"/>
      <c r="B470" s="2"/>
      <c r="C470" s="7"/>
      <c r="D470" s="7"/>
      <c r="E470" s="150"/>
      <c r="F470" s="7"/>
      <c r="G470" s="7"/>
      <c r="H470" s="151"/>
      <c r="I470" s="151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15"/>
      <c r="BJ470" s="15"/>
      <c r="BK470" s="15"/>
      <c r="BL470" s="7"/>
      <c r="BM470" s="7"/>
      <c r="BN470" s="7"/>
    </row>
    <row r="471" ht="15.75" customHeight="1">
      <c r="A471" s="1"/>
      <c r="B471" s="2"/>
      <c r="C471" s="7"/>
      <c r="D471" s="7"/>
      <c r="E471" s="150"/>
      <c r="F471" s="7"/>
      <c r="G471" s="7"/>
      <c r="H471" s="151"/>
      <c r="I471" s="151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15"/>
      <c r="BJ471" s="15"/>
      <c r="BK471" s="15"/>
      <c r="BL471" s="7"/>
      <c r="BM471" s="7"/>
      <c r="BN471" s="7"/>
    </row>
    <row r="472" ht="15.75" customHeight="1">
      <c r="A472" s="1"/>
      <c r="B472" s="2"/>
      <c r="C472" s="7"/>
      <c r="D472" s="7"/>
      <c r="E472" s="150"/>
      <c r="F472" s="7"/>
      <c r="G472" s="7"/>
      <c r="H472" s="151"/>
      <c r="I472" s="151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15"/>
      <c r="BJ472" s="15"/>
      <c r="BK472" s="15"/>
      <c r="BL472" s="7"/>
      <c r="BM472" s="7"/>
      <c r="BN472" s="7"/>
    </row>
    <row r="473" ht="15.75" customHeight="1">
      <c r="A473" s="1"/>
      <c r="B473" s="2"/>
      <c r="C473" s="7"/>
      <c r="D473" s="7"/>
      <c r="E473" s="150"/>
      <c r="F473" s="7"/>
      <c r="G473" s="7"/>
      <c r="H473" s="151"/>
      <c r="I473" s="151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15"/>
      <c r="BJ473" s="15"/>
      <c r="BK473" s="15"/>
      <c r="BL473" s="7"/>
      <c r="BM473" s="7"/>
      <c r="BN473" s="7"/>
    </row>
    <row r="474" ht="15.75" customHeight="1">
      <c r="A474" s="1"/>
      <c r="B474" s="2"/>
      <c r="C474" s="7"/>
      <c r="D474" s="7"/>
      <c r="E474" s="150"/>
      <c r="F474" s="7"/>
      <c r="G474" s="7"/>
      <c r="H474" s="151"/>
      <c r="I474" s="151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15"/>
      <c r="BJ474" s="15"/>
      <c r="BK474" s="15"/>
      <c r="BL474" s="7"/>
      <c r="BM474" s="7"/>
      <c r="BN474" s="7"/>
    </row>
    <row r="475" ht="15.75" customHeight="1">
      <c r="A475" s="1"/>
      <c r="B475" s="2"/>
      <c r="C475" s="7"/>
      <c r="D475" s="7"/>
      <c r="E475" s="150"/>
      <c r="F475" s="7"/>
      <c r="G475" s="7"/>
      <c r="H475" s="151"/>
      <c r="I475" s="151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15"/>
      <c r="BJ475" s="15"/>
      <c r="BK475" s="15"/>
      <c r="BL475" s="7"/>
      <c r="BM475" s="7"/>
      <c r="BN475" s="7"/>
    </row>
    <row r="476" ht="15.75" customHeight="1">
      <c r="A476" s="1"/>
      <c r="B476" s="2"/>
      <c r="C476" s="7"/>
      <c r="D476" s="7"/>
      <c r="E476" s="150"/>
      <c r="F476" s="7"/>
      <c r="G476" s="7"/>
      <c r="H476" s="151"/>
      <c r="I476" s="151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15"/>
      <c r="BJ476" s="15"/>
      <c r="BK476" s="15"/>
      <c r="BL476" s="7"/>
      <c r="BM476" s="7"/>
      <c r="BN476" s="7"/>
    </row>
    <row r="477" ht="15.75" customHeight="1">
      <c r="A477" s="1"/>
      <c r="B477" s="2"/>
      <c r="C477" s="7"/>
      <c r="D477" s="7"/>
      <c r="E477" s="150"/>
      <c r="F477" s="7"/>
      <c r="G477" s="7"/>
      <c r="H477" s="151"/>
      <c r="I477" s="151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15"/>
      <c r="BJ477" s="15"/>
      <c r="BK477" s="15"/>
      <c r="BL477" s="7"/>
      <c r="BM477" s="7"/>
      <c r="BN477" s="7"/>
    </row>
    <row r="478" ht="15.75" customHeight="1">
      <c r="A478" s="1"/>
      <c r="B478" s="2"/>
      <c r="C478" s="7"/>
      <c r="D478" s="7"/>
      <c r="E478" s="150"/>
      <c r="F478" s="7"/>
      <c r="G478" s="7"/>
      <c r="H478" s="151"/>
      <c r="I478" s="151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15"/>
      <c r="BJ478" s="15"/>
      <c r="BK478" s="15"/>
      <c r="BL478" s="7"/>
      <c r="BM478" s="7"/>
      <c r="BN478" s="7"/>
    </row>
    <row r="479" ht="15.75" customHeight="1">
      <c r="A479" s="1"/>
      <c r="B479" s="2"/>
      <c r="C479" s="7"/>
      <c r="D479" s="7"/>
      <c r="E479" s="150"/>
      <c r="F479" s="7"/>
      <c r="G479" s="7"/>
      <c r="H479" s="151"/>
      <c r="I479" s="151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15"/>
      <c r="BJ479" s="15"/>
      <c r="BK479" s="15"/>
      <c r="BL479" s="7"/>
      <c r="BM479" s="7"/>
      <c r="BN479" s="7"/>
    </row>
    <row r="480" ht="15.75" customHeight="1">
      <c r="A480" s="1"/>
      <c r="B480" s="2"/>
      <c r="C480" s="7"/>
      <c r="D480" s="7"/>
      <c r="E480" s="150"/>
      <c r="F480" s="7"/>
      <c r="G480" s="7"/>
      <c r="H480" s="151"/>
      <c r="I480" s="151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15"/>
      <c r="BJ480" s="15"/>
      <c r="BK480" s="15"/>
      <c r="BL480" s="7"/>
      <c r="BM480" s="7"/>
      <c r="BN480" s="7"/>
    </row>
    <row r="481" ht="15.75" customHeight="1">
      <c r="A481" s="1"/>
      <c r="B481" s="2"/>
      <c r="C481" s="7"/>
      <c r="D481" s="7"/>
      <c r="E481" s="150"/>
      <c r="F481" s="7"/>
      <c r="G481" s="7"/>
      <c r="H481" s="151"/>
      <c r="I481" s="151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15"/>
      <c r="BJ481" s="15"/>
      <c r="BK481" s="15"/>
      <c r="BL481" s="7"/>
      <c r="BM481" s="7"/>
      <c r="BN481" s="7"/>
    </row>
    <row r="482" ht="15.75" customHeight="1">
      <c r="A482" s="1"/>
      <c r="B482" s="2"/>
      <c r="C482" s="7"/>
      <c r="D482" s="7"/>
      <c r="E482" s="150"/>
      <c r="F482" s="7"/>
      <c r="G482" s="7"/>
      <c r="H482" s="151"/>
      <c r="I482" s="151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15"/>
      <c r="BJ482" s="15"/>
      <c r="BK482" s="15"/>
      <c r="BL482" s="7"/>
      <c r="BM482" s="7"/>
      <c r="BN482" s="7"/>
    </row>
    <row r="483" ht="15.75" customHeight="1">
      <c r="A483" s="1"/>
      <c r="B483" s="2"/>
      <c r="C483" s="7"/>
      <c r="D483" s="7"/>
      <c r="E483" s="150"/>
      <c r="F483" s="7"/>
      <c r="G483" s="7"/>
      <c r="H483" s="151"/>
      <c r="I483" s="151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15"/>
      <c r="BJ483" s="15"/>
      <c r="BK483" s="15"/>
      <c r="BL483" s="7"/>
      <c r="BM483" s="7"/>
      <c r="BN483" s="7"/>
    </row>
    <row r="484" ht="15.75" customHeight="1">
      <c r="A484" s="1"/>
      <c r="B484" s="2"/>
      <c r="C484" s="7"/>
      <c r="D484" s="7"/>
      <c r="E484" s="150"/>
      <c r="F484" s="7"/>
      <c r="G484" s="7"/>
      <c r="H484" s="151"/>
      <c r="I484" s="151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15"/>
      <c r="BJ484" s="15"/>
      <c r="BK484" s="15"/>
      <c r="BL484" s="7"/>
      <c r="BM484" s="7"/>
      <c r="BN484" s="7"/>
    </row>
    <row r="485" ht="15.75" customHeight="1">
      <c r="A485" s="1"/>
      <c r="B485" s="2"/>
      <c r="C485" s="7"/>
      <c r="D485" s="7"/>
      <c r="E485" s="150"/>
      <c r="F485" s="7"/>
      <c r="G485" s="7"/>
      <c r="H485" s="151"/>
      <c r="I485" s="151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15"/>
      <c r="BJ485" s="15"/>
      <c r="BK485" s="15"/>
      <c r="BL485" s="7"/>
      <c r="BM485" s="7"/>
      <c r="BN485" s="7"/>
    </row>
    <row r="486" ht="15.75" customHeight="1">
      <c r="A486" s="1"/>
      <c r="B486" s="2"/>
      <c r="C486" s="7"/>
      <c r="D486" s="7"/>
      <c r="E486" s="150"/>
      <c r="F486" s="7"/>
      <c r="G486" s="7"/>
      <c r="H486" s="151"/>
      <c r="I486" s="151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15"/>
      <c r="BJ486" s="15"/>
      <c r="BK486" s="15"/>
      <c r="BL486" s="7"/>
      <c r="BM486" s="7"/>
      <c r="BN486" s="7"/>
    </row>
    <row r="487" ht="15.75" customHeight="1">
      <c r="A487" s="1"/>
      <c r="B487" s="2"/>
      <c r="C487" s="7"/>
      <c r="D487" s="7"/>
      <c r="E487" s="150"/>
      <c r="F487" s="7"/>
      <c r="G487" s="7"/>
      <c r="H487" s="151"/>
      <c r="I487" s="151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15"/>
      <c r="BJ487" s="15"/>
      <c r="BK487" s="15"/>
      <c r="BL487" s="7"/>
      <c r="BM487" s="7"/>
      <c r="BN487" s="7"/>
    </row>
    <row r="488" ht="15.75" customHeight="1">
      <c r="A488" s="1"/>
      <c r="B488" s="2"/>
      <c r="C488" s="7"/>
      <c r="D488" s="7"/>
      <c r="E488" s="150"/>
      <c r="F488" s="7"/>
      <c r="G488" s="7"/>
      <c r="H488" s="151"/>
      <c r="I488" s="151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15"/>
      <c r="BJ488" s="15"/>
      <c r="BK488" s="15"/>
      <c r="BL488" s="7"/>
      <c r="BM488" s="7"/>
      <c r="BN488" s="7"/>
    </row>
    <row r="489" ht="15.75" customHeight="1">
      <c r="A489" s="1"/>
      <c r="B489" s="2"/>
      <c r="C489" s="7"/>
      <c r="D489" s="7"/>
      <c r="E489" s="150"/>
      <c r="F489" s="7"/>
      <c r="G489" s="7"/>
      <c r="H489" s="151"/>
      <c r="I489" s="151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15"/>
      <c r="BJ489" s="15"/>
      <c r="BK489" s="15"/>
      <c r="BL489" s="7"/>
      <c r="BM489" s="7"/>
      <c r="BN489" s="7"/>
    </row>
    <row r="490" ht="15.75" customHeight="1">
      <c r="A490" s="1"/>
      <c r="B490" s="2"/>
      <c r="C490" s="7"/>
      <c r="D490" s="7"/>
      <c r="E490" s="150"/>
      <c r="F490" s="7"/>
      <c r="G490" s="7"/>
      <c r="H490" s="151"/>
      <c r="I490" s="151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15"/>
      <c r="BJ490" s="15"/>
      <c r="BK490" s="15"/>
      <c r="BL490" s="7"/>
      <c r="BM490" s="7"/>
      <c r="BN490" s="7"/>
    </row>
    <row r="491" ht="15.75" customHeight="1">
      <c r="A491" s="1"/>
      <c r="B491" s="2"/>
      <c r="C491" s="7"/>
      <c r="D491" s="7"/>
      <c r="E491" s="150"/>
      <c r="F491" s="7"/>
      <c r="G491" s="7"/>
      <c r="H491" s="151"/>
      <c r="I491" s="151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15"/>
      <c r="BJ491" s="15"/>
      <c r="BK491" s="15"/>
      <c r="BL491" s="7"/>
      <c r="BM491" s="7"/>
      <c r="BN491" s="7"/>
    </row>
    <row r="492" ht="15.75" customHeight="1">
      <c r="A492" s="1"/>
      <c r="B492" s="2"/>
      <c r="C492" s="7"/>
      <c r="D492" s="7"/>
      <c r="E492" s="150"/>
      <c r="F492" s="7"/>
      <c r="G492" s="7"/>
      <c r="H492" s="151"/>
      <c r="I492" s="151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15"/>
      <c r="BJ492" s="15"/>
      <c r="BK492" s="15"/>
      <c r="BL492" s="7"/>
      <c r="BM492" s="7"/>
      <c r="BN492" s="7"/>
    </row>
  </sheetData>
  <autoFilter ref="$A$1:$BJ$397">
    <sortState ref="A1:BJ397">
      <sortCondition ref="P1:P397"/>
      <sortCondition descending="1" ref="BI1:BI397"/>
      <sortCondition ref="AF1:AF397"/>
      <sortCondition ref="B1:B397"/>
    </sortState>
  </autoFilter>
  <hyperlinks>
    <hyperlink r:id="rId1" ref="G2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52" t="s">
        <v>1</v>
      </c>
      <c r="B1" s="153" t="s">
        <v>1370</v>
      </c>
      <c r="C1" s="153" t="s">
        <v>1371</v>
      </c>
      <c r="D1" s="153" t="s">
        <v>1372</v>
      </c>
      <c r="E1" s="153" t="s">
        <v>1373</v>
      </c>
      <c r="G1" s="154"/>
    </row>
    <row r="2">
      <c r="A2" s="155" t="s">
        <v>1374</v>
      </c>
      <c r="B2" s="156" t="s">
        <v>67</v>
      </c>
      <c r="C2" s="156" t="s">
        <v>80</v>
      </c>
      <c r="D2" s="156">
        <v>30.0</v>
      </c>
      <c r="E2" s="156" t="s">
        <v>1375</v>
      </c>
      <c r="G2" s="154"/>
    </row>
    <row r="3">
      <c r="A3" s="155" t="s">
        <v>1376</v>
      </c>
      <c r="B3" s="156" t="s">
        <v>67</v>
      </c>
      <c r="C3" s="156" t="s">
        <v>80</v>
      </c>
      <c r="D3" s="156">
        <v>44.0</v>
      </c>
      <c r="E3" s="156" t="s">
        <v>1377</v>
      </c>
      <c r="G3" s="154"/>
    </row>
    <row r="4">
      <c r="A4" s="155" t="s">
        <v>1378</v>
      </c>
      <c r="B4" s="156" t="s">
        <v>106</v>
      </c>
      <c r="D4" s="156">
        <v>62.0</v>
      </c>
      <c r="E4" s="156" t="s">
        <v>1379</v>
      </c>
      <c r="G4" s="154"/>
    </row>
    <row r="5">
      <c r="A5" s="155" t="s">
        <v>1380</v>
      </c>
      <c r="B5" s="156" t="s">
        <v>106</v>
      </c>
      <c r="C5" s="156" t="s">
        <v>139</v>
      </c>
      <c r="D5" s="156">
        <v>40.0</v>
      </c>
      <c r="E5" s="156" t="s">
        <v>1377</v>
      </c>
      <c r="G5" s="154"/>
    </row>
    <row r="6">
      <c r="A6" s="155" t="s">
        <v>1381</v>
      </c>
      <c r="B6" s="156" t="s">
        <v>67</v>
      </c>
      <c r="D6" s="156">
        <v>51.0</v>
      </c>
      <c r="G6" s="154"/>
    </row>
    <row r="7">
      <c r="A7" s="155" t="s">
        <v>1382</v>
      </c>
      <c r="B7" s="156" t="s">
        <v>106</v>
      </c>
      <c r="C7" s="156" t="s">
        <v>80</v>
      </c>
      <c r="D7" s="156">
        <v>56.0</v>
      </c>
      <c r="E7" s="156" t="s">
        <v>1379</v>
      </c>
      <c r="G7" s="154"/>
    </row>
    <row r="8">
      <c r="A8" s="155" t="s">
        <v>1383</v>
      </c>
      <c r="B8" s="156" t="s">
        <v>67</v>
      </c>
      <c r="C8" s="156" t="s">
        <v>80</v>
      </c>
      <c r="D8" s="156">
        <v>52.0</v>
      </c>
      <c r="E8" s="156" t="s">
        <v>1377</v>
      </c>
      <c r="G8" s="154"/>
    </row>
    <row r="9">
      <c r="A9" s="155" t="s">
        <v>1384</v>
      </c>
      <c r="B9" s="156" t="s">
        <v>67</v>
      </c>
      <c r="C9" s="156" t="s">
        <v>80</v>
      </c>
      <c r="D9" s="156">
        <v>25.0</v>
      </c>
      <c r="E9" s="156" t="s">
        <v>1375</v>
      </c>
      <c r="G9" s="154"/>
    </row>
    <row r="10">
      <c r="A10" s="155" t="s">
        <v>1385</v>
      </c>
      <c r="B10" s="156" t="s">
        <v>67</v>
      </c>
      <c r="C10" s="156" t="s">
        <v>151</v>
      </c>
      <c r="D10" s="156">
        <v>42.0</v>
      </c>
      <c r="E10" s="156" t="s">
        <v>1377</v>
      </c>
      <c r="G10" s="154"/>
    </row>
    <row r="11">
      <c r="A11" s="155" t="s">
        <v>1386</v>
      </c>
      <c r="B11" s="156" t="s">
        <v>67</v>
      </c>
      <c r="C11" s="156" t="s">
        <v>80</v>
      </c>
      <c r="D11" s="156">
        <v>37.0</v>
      </c>
      <c r="E11" s="156" t="s">
        <v>1377</v>
      </c>
      <c r="G11" s="154"/>
    </row>
    <row r="12">
      <c r="A12" s="155" t="s">
        <v>1387</v>
      </c>
      <c r="B12" s="156" t="s">
        <v>67</v>
      </c>
      <c r="D12" s="156">
        <v>64.0</v>
      </c>
      <c r="E12" s="156" t="s">
        <v>1379</v>
      </c>
      <c r="G12" s="154"/>
    </row>
    <row r="13">
      <c r="A13" s="155" t="s">
        <v>1388</v>
      </c>
      <c r="B13" s="156" t="s">
        <v>67</v>
      </c>
      <c r="D13" s="156">
        <v>41.0</v>
      </c>
      <c r="E13" s="156" t="s">
        <v>1377</v>
      </c>
      <c r="G13" s="154"/>
    </row>
    <row r="14">
      <c r="A14" s="155" t="s">
        <v>1389</v>
      </c>
      <c r="B14" s="156" t="s">
        <v>67</v>
      </c>
      <c r="D14" s="156">
        <v>36.0</v>
      </c>
      <c r="E14" s="156" t="s">
        <v>1377</v>
      </c>
      <c r="G14" s="154"/>
    </row>
    <row r="15">
      <c r="A15" s="155" t="s">
        <v>1390</v>
      </c>
      <c r="B15" s="156" t="s">
        <v>67</v>
      </c>
      <c r="D15" s="156">
        <v>30.0</v>
      </c>
      <c r="E15" s="156" t="s">
        <v>1375</v>
      </c>
      <c r="G15" s="154"/>
    </row>
    <row r="16">
      <c r="A16" s="155" t="s">
        <v>1391</v>
      </c>
      <c r="B16" s="156" t="s">
        <v>67</v>
      </c>
      <c r="D16" s="156">
        <v>60.0</v>
      </c>
      <c r="E16" s="156" t="s">
        <v>1379</v>
      </c>
      <c r="G16" s="154"/>
    </row>
    <row r="17">
      <c r="A17" s="155" t="s">
        <v>1392</v>
      </c>
      <c r="B17" s="156" t="s">
        <v>67</v>
      </c>
      <c r="D17" s="156">
        <v>26.0</v>
      </c>
      <c r="E17" s="156" t="s">
        <v>1375</v>
      </c>
      <c r="G17" s="154"/>
    </row>
    <row r="18">
      <c r="A18" s="155" t="s">
        <v>1393</v>
      </c>
      <c r="B18" s="156" t="s">
        <v>67</v>
      </c>
      <c r="D18" s="156">
        <v>56.0</v>
      </c>
      <c r="E18" s="156" t="s">
        <v>1379</v>
      </c>
      <c r="G18" s="154"/>
    </row>
    <row r="19">
      <c r="A19" s="155" t="s">
        <v>1394</v>
      </c>
      <c r="B19" s="156" t="s">
        <v>106</v>
      </c>
      <c r="D19" s="156">
        <v>43.0</v>
      </c>
      <c r="E19" s="156" t="s">
        <v>1377</v>
      </c>
      <c r="G19" s="154"/>
    </row>
    <row r="20">
      <c r="A20" s="155" t="s">
        <v>1395</v>
      </c>
      <c r="B20" s="156" t="s">
        <v>67</v>
      </c>
      <c r="C20" s="156" t="s">
        <v>151</v>
      </c>
      <c r="D20" s="156">
        <v>75.0</v>
      </c>
      <c r="E20" s="156" t="s">
        <v>1379</v>
      </c>
      <c r="G20" s="154"/>
    </row>
    <row r="21">
      <c r="A21" s="155" t="s">
        <v>1396</v>
      </c>
      <c r="B21" s="156" t="s">
        <v>67</v>
      </c>
      <c r="D21" s="156">
        <v>62.0</v>
      </c>
      <c r="E21" s="156" t="s">
        <v>1379</v>
      </c>
      <c r="G21" s="154"/>
    </row>
    <row r="22">
      <c r="A22" s="155" t="s">
        <v>1397</v>
      </c>
      <c r="B22" s="156" t="s">
        <v>67</v>
      </c>
      <c r="D22" s="156">
        <v>51.0</v>
      </c>
      <c r="E22" s="156" t="s">
        <v>1377</v>
      </c>
      <c r="G22" s="154"/>
    </row>
    <row r="23">
      <c r="A23" s="155" t="s">
        <v>1398</v>
      </c>
      <c r="B23" s="156" t="s">
        <v>67</v>
      </c>
      <c r="D23" s="156">
        <v>23.0</v>
      </c>
      <c r="E23" s="156" t="s">
        <v>1375</v>
      </c>
      <c r="G23" s="154"/>
    </row>
    <row r="24">
      <c r="A24" s="155" t="s">
        <v>1399</v>
      </c>
      <c r="B24" s="156" t="s">
        <v>106</v>
      </c>
      <c r="D24" s="156">
        <v>26.0</v>
      </c>
      <c r="E24" s="156" t="s">
        <v>1375</v>
      </c>
      <c r="G24" s="154"/>
    </row>
    <row r="25">
      <c r="A25" s="155" t="s">
        <v>1400</v>
      </c>
      <c r="B25" s="156" t="s">
        <v>106</v>
      </c>
      <c r="D25" s="156">
        <v>22.0</v>
      </c>
      <c r="E25" s="156" t="s">
        <v>1375</v>
      </c>
      <c r="G25" s="154"/>
    </row>
    <row r="26">
      <c r="A26" s="155" t="s">
        <v>1401</v>
      </c>
      <c r="B26" s="156" t="s">
        <v>106</v>
      </c>
      <c r="D26" s="156">
        <v>54.0</v>
      </c>
      <c r="E26" s="156" t="s">
        <v>1377</v>
      </c>
      <c r="G26" s="154"/>
    </row>
    <row r="27">
      <c r="A27" s="155" t="s">
        <v>1402</v>
      </c>
      <c r="B27" s="156" t="s">
        <v>106</v>
      </c>
      <c r="D27" s="156">
        <v>21.0</v>
      </c>
      <c r="E27" s="156" t="s">
        <v>1375</v>
      </c>
      <c r="G27" s="154"/>
    </row>
    <row r="28">
      <c r="A28" s="155" t="s">
        <v>1403</v>
      </c>
      <c r="B28" s="156" t="s">
        <v>106</v>
      </c>
      <c r="D28" s="156">
        <v>25.0</v>
      </c>
      <c r="E28" s="156" t="s">
        <v>1375</v>
      </c>
      <c r="G28" s="154"/>
    </row>
    <row r="29">
      <c r="A29" s="155" t="s">
        <v>1404</v>
      </c>
      <c r="B29" s="156" t="s">
        <v>106</v>
      </c>
      <c r="D29" s="156">
        <v>61.0</v>
      </c>
      <c r="E29" s="156" t="s">
        <v>1379</v>
      </c>
      <c r="G29" s="154"/>
    </row>
    <row r="30">
      <c r="A30" s="155" t="s">
        <v>1405</v>
      </c>
      <c r="B30" s="156" t="s">
        <v>106</v>
      </c>
      <c r="D30" s="156">
        <v>44.0</v>
      </c>
      <c r="E30" s="156" t="s">
        <v>1377</v>
      </c>
      <c r="G30" s="154"/>
    </row>
    <row r="31">
      <c r="A31" s="155" t="s">
        <v>1406</v>
      </c>
      <c r="B31" s="156" t="s">
        <v>106</v>
      </c>
      <c r="D31" s="156">
        <v>39.0</v>
      </c>
      <c r="E31" s="156" t="s">
        <v>1377</v>
      </c>
      <c r="G31" s="154"/>
    </row>
    <row r="32">
      <c r="A32" s="155" t="s">
        <v>1407</v>
      </c>
      <c r="B32" s="156" t="s">
        <v>106</v>
      </c>
      <c r="D32" s="156">
        <v>62.0</v>
      </c>
      <c r="E32" s="156" t="s">
        <v>1379</v>
      </c>
      <c r="G32" s="154"/>
    </row>
    <row r="33">
      <c r="A33" s="155" t="s">
        <v>1408</v>
      </c>
      <c r="B33" s="156" t="s">
        <v>106</v>
      </c>
      <c r="D33" s="156">
        <v>47.0</v>
      </c>
      <c r="E33" s="156" t="s">
        <v>1377</v>
      </c>
      <c r="G33" s="154"/>
    </row>
    <row r="34">
      <c r="A34" s="155" t="s">
        <v>1409</v>
      </c>
      <c r="B34" s="156" t="s">
        <v>67</v>
      </c>
      <c r="D34" s="156">
        <v>37.0</v>
      </c>
      <c r="E34" s="156" t="s">
        <v>1377</v>
      </c>
      <c r="G34" s="154"/>
    </row>
    <row r="35">
      <c r="A35" s="155" t="s">
        <v>1410</v>
      </c>
      <c r="B35" s="156" t="s">
        <v>67</v>
      </c>
      <c r="C35" s="156" t="s">
        <v>80</v>
      </c>
      <c r="D35" s="156">
        <v>36.0</v>
      </c>
      <c r="E35" s="156" t="s">
        <v>1377</v>
      </c>
      <c r="G35" s="154"/>
    </row>
    <row r="36">
      <c r="A36" s="155" t="s">
        <v>1411</v>
      </c>
      <c r="B36" s="156" t="s">
        <v>67</v>
      </c>
      <c r="D36" s="156">
        <v>28.0</v>
      </c>
      <c r="E36" s="156" t="s">
        <v>1375</v>
      </c>
      <c r="G36" s="154"/>
    </row>
    <row r="37">
      <c r="A37" s="155" t="s">
        <v>1412</v>
      </c>
      <c r="B37" s="156" t="s">
        <v>67</v>
      </c>
      <c r="D37" s="156">
        <v>55.0</v>
      </c>
      <c r="E37" s="156" t="s">
        <v>1377</v>
      </c>
      <c r="G37" s="154"/>
    </row>
    <row r="38">
      <c r="A38" s="155" t="s">
        <v>1413</v>
      </c>
      <c r="B38" s="156" t="s">
        <v>67</v>
      </c>
      <c r="D38" s="156">
        <v>55.0</v>
      </c>
      <c r="E38" s="156" t="s">
        <v>1377</v>
      </c>
      <c r="G38" s="154"/>
    </row>
    <row r="39">
      <c r="A39" s="155" t="s">
        <v>1414</v>
      </c>
      <c r="B39" s="156" t="s">
        <v>106</v>
      </c>
      <c r="D39" s="156">
        <v>63.0</v>
      </c>
      <c r="E39" s="156" t="s">
        <v>1379</v>
      </c>
      <c r="G39" s="154"/>
    </row>
    <row r="40">
      <c r="A40" s="155" t="s">
        <v>1415</v>
      </c>
      <c r="B40" s="156" t="s">
        <v>106</v>
      </c>
      <c r="D40" s="156">
        <v>26.0</v>
      </c>
      <c r="E40" s="156" t="s">
        <v>1375</v>
      </c>
      <c r="G40" s="154"/>
    </row>
    <row r="41">
      <c r="A41" s="155" t="s">
        <v>1416</v>
      </c>
      <c r="B41" s="156" t="s">
        <v>106</v>
      </c>
      <c r="D41" s="156">
        <v>29.0</v>
      </c>
      <c r="E41" s="156" t="s">
        <v>1375</v>
      </c>
      <c r="G41" s="154"/>
    </row>
    <row r="42">
      <c r="A42" s="155" t="s">
        <v>1417</v>
      </c>
      <c r="B42" s="156" t="s">
        <v>106</v>
      </c>
      <c r="D42" s="156">
        <v>57.0</v>
      </c>
      <c r="E42" s="156" t="s">
        <v>1379</v>
      </c>
      <c r="G42" s="154"/>
    </row>
    <row r="43">
      <c r="A43" s="155" t="s">
        <v>1418</v>
      </c>
      <c r="B43" s="156" t="s">
        <v>106</v>
      </c>
      <c r="D43" s="156">
        <v>59.0</v>
      </c>
      <c r="E43" s="156" t="s">
        <v>1379</v>
      </c>
      <c r="G43" s="154"/>
    </row>
    <row r="44">
      <c r="A44" s="155" t="s">
        <v>1419</v>
      </c>
      <c r="B44" s="156" t="s">
        <v>67</v>
      </c>
      <c r="D44" s="156">
        <v>75.0</v>
      </c>
      <c r="E44" s="156" t="s">
        <v>1379</v>
      </c>
      <c r="G44" s="154"/>
    </row>
    <row r="45">
      <c r="A45" s="155" t="s">
        <v>1420</v>
      </c>
      <c r="B45" s="156" t="s">
        <v>67</v>
      </c>
      <c r="D45" s="156">
        <v>69.0</v>
      </c>
      <c r="E45" s="156" t="s">
        <v>1379</v>
      </c>
      <c r="G45" s="154"/>
    </row>
    <row r="46">
      <c r="A46" s="155" t="s">
        <v>1421</v>
      </c>
      <c r="B46" s="156" t="s">
        <v>67</v>
      </c>
      <c r="D46" s="156">
        <v>82.0</v>
      </c>
      <c r="E46" s="156" t="s">
        <v>1379</v>
      </c>
      <c r="G46" s="154"/>
    </row>
    <row r="47">
      <c r="A47" s="155" t="s">
        <v>1422</v>
      </c>
      <c r="B47" s="156" t="s">
        <v>106</v>
      </c>
      <c r="D47" s="156">
        <v>40.0</v>
      </c>
      <c r="E47" s="156" t="s">
        <v>1377</v>
      </c>
      <c r="G47" s="154"/>
    </row>
    <row r="48">
      <c r="A48" s="155" t="s">
        <v>1423</v>
      </c>
      <c r="B48" s="156" t="s">
        <v>106</v>
      </c>
      <c r="D48" s="156">
        <v>23.0</v>
      </c>
      <c r="E48" s="156" t="s">
        <v>1375</v>
      </c>
      <c r="G48" s="154"/>
    </row>
    <row r="49">
      <c r="A49" s="155" t="s">
        <v>1424</v>
      </c>
      <c r="B49" s="156" t="s">
        <v>106</v>
      </c>
      <c r="D49" s="156">
        <v>23.0</v>
      </c>
      <c r="E49" s="156" t="s">
        <v>1375</v>
      </c>
      <c r="G49" s="154"/>
    </row>
    <row r="50">
      <c r="A50" s="155" t="s">
        <v>1425</v>
      </c>
      <c r="B50" s="156" t="s">
        <v>106</v>
      </c>
      <c r="D50" s="156">
        <v>27.0</v>
      </c>
      <c r="E50" s="156" t="s">
        <v>1375</v>
      </c>
      <c r="G50" s="154"/>
    </row>
    <row r="51">
      <c r="A51" s="155" t="s">
        <v>1426</v>
      </c>
      <c r="B51" s="156" t="s">
        <v>106</v>
      </c>
      <c r="D51" s="156">
        <v>55.0</v>
      </c>
      <c r="E51" s="156" t="s">
        <v>1377</v>
      </c>
      <c r="G51" s="154"/>
    </row>
    <row r="52">
      <c r="A52" s="155" t="s">
        <v>1427</v>
      </c>
      <c r="B52" s="156" t="s">
        <v>106</v>
      </c>
      <c r="D52" s="156">
        <v>43.0</v>
      </c>
      <c r="E52" s="156" t="s">
        <v>1377</v>
      </c>
      <c r="G52" s="154"/>
    </row>
    <row r="53">
      <c r="A53" s="155" t="s">
        <v>1428</v>
      </c>
      <c r="B53" s="156" t="s">
        <v>106</v>
      </c>
      <c r="D53" s="156">
        <v>46.0</v>
      </c>
      <c r="E53" s="156" t="s">
        <v>1377</v>
      </c>
      <c r="G53" s="154"/>
    </row>
    <row r="54">
      <c r="A54" s="155" t="s">
        <v>1429</v>
      </c>
      <c r="B54" s="156" t="s">
        <v>106</v>
      </c>
      <c r="D54" s="156">
        <v>39.0</v>
      </c>
      <c r="E54" s="156" t="s">
        <v>1377</v>
      </c>
      <c r="G54" s="154"/>
    </row>
    <row r="55">
      <c r="A55" s="155" t="s">
        <v>1430</v>
      </c>
      <c r="B55" s="156" t="s">
        <v>106</v>
      </c>
      <c r="D55" s="156">
        <v>68.0</v>
      </c>
      <c r="E55" s="156" t="s">
        <v>1379</v>
      </c>
      <c r="G55" s="154"/>
    </row>
    <row r="56">
      <c r="A56" s="155" t="s">
        <v>1431</v>
      </c>
      <c r="B56" s="156" t="s">
        <v>106</v>
      </c>
      <c r="D56" s="156">
        <v>79.0</v>
      </c>
      <c r="E56" s="156" t="s">
        <v>1379</v>
      </c>
      <c r="G56" s="154"/>
    </row>
    <row r="57">
      <c r="A57" s="155" t="s">
        <v>1432</v>
      </c>
      <c r="B57" s="156" t="s">
        <v>106</v>
      </c>
      <c r="D57" s="156">
        <v>61.0</v>
      </c>
      <c r="E57" s="156" t="s">
        <v>1379</v>
      </c>
      <c r="G57" s="154"/>
    </row>
    <row r="58">
      <c r="A58" s="155" t="s">
        <v>1433</v>
      </c>
      <c r="B58" s="156" t="s">
        <v>106</v>
      </c>
      <c r="D58" s="156">
        <v>71.0</v>
      </c>
      <c r="E58" s="156" t="s">
        <v>1379</v>
      </c>
      <c r="G58" s="154"/>
    </row>
    <row r="59">
      <c r="A59" s="155" t="s">
        <v>1434</v>
      </c>
      <c r="B59" s="156" t="s">
        <v>106</v>
      </c>
      <c r="D59" s="156">
        <v>77.0</v>
      </c>
      <c r="E59" s="156" t="s">
        <v>1379</v>
      </c>
      <c r="G59" s="154"/>
    </row>
    <row r="60">
      <c r="A60" s="155" t="s">
        <v>1435</v>
      </c>
      <c r="B60" s="156" t="s">
        <v>106</v>
      </c>
      <c r="D60" s="156">
        <v>21.0</v>
      </c>
      <c r="E60" s="156" t="s">
        <v>1375</v>
      </c>
      <c r="G60" s="154"/>
    </row>
    <row r="61">
      <c r="A61" s="155" t="s">
        <v>1436</v>
      </c>
      <c r="B61" s="156" t="s">
        <v>106</v>
      </c>
      <c r="D61" s="156">
        <v>72.0</v>
      </c>
      <c r="E61" s="156" t="s">
        <v>1379</v>
      </c>
      <c r="G61" s="154"/>
    </row>
    <row r="62">
      <c r="A62" s="155" t="s">
        <v>1437</v>
      </c>
      <c r="B62" s="156" t="s">
        <v>67</v>
      </c>
      <c r="D62" s="156">
        <v>60.0</v>
      </c>
      <c r="E62" s="156" t="s">
        <v>1379</v>
      </c>
      <c r="G62" s="154"/>
    </row>
    <row r="63">
      <c r="A63" s="155" t="s">
        <v>1438</v>
      </c>
      <c r="B63" s="156" t="s">
        <v>106</v>
      </c>
      <c r="D63" s="156">
        <v>27.0</v>
      </c>
      <c r="E63" s="156" t="s">
        <v>1375</v>
      </c>
      <c r="G63" s="154"/>
    </row>
    <row r="64">
      <c r="A64" s="155" t="s">
        <v>1439</v>
      </c>
      <c r="B64" s="156" t="s">
        <v>67</v>
      </c>
      <c r="D64" s="156">
        <v>59.0</v>
      </c>
      <c r="E64" s="156" t="s">
        <v>1379</v>
      </c>
      <c r="G64" s="154"/>
    </row>
    <row r="65">
      <c r="A65" s="155" t="s">
        <v>1440</v>
      </c>
      <c r="B65" s="156" t="s">
        <v>67</v>
      </c>
      <c r="D65" s="156">
        <v>58.0</v>
      </c>
      <c r="E65" s="156" t="s">
        <v>1379</v>
      </c>
      <c r="G65" s="154"/>
    </row>
    <row r="66">
      <c r="A66" s="155" t="s">
        <v>1441</v>
      </c>
      <c r="B66" s="156" t="s">
        <v>67</v>
      </c>
      <c r="D66" s="156">
        <v>57.0</v>
      </c>
      <c r="E66" s="156" t="s">
        <v>1379</v>
      </c>
      <c r="G66" s="154"/>
    </row>
    <row r="67">
      <c r="A67" s="155" t="s">
        <v>1442</v>
      </c>
      <c r="B67" s="156" t="s">
        <v>106</v>
      </c>
      <c r="D67" s="156">
        <v>42.0</v>
      </c>
      <c r="E67" s="156" t="s">
        <v>1377</v>
      </c>
      <c r="G67" s="154"/>
    </row>
    <row r="68">
      <c r="A68" s="155" t="s">
        <v>1443</v>
      </c>
      <c r="B68" s="156" t="s">
        <v>67</v>
      </c>
      <c r="D68" s="156">
        <v>26.0</v>
      </c>
      <c r="E68" s="156" t="s">
        <v>1375</v>
      </c>
      <c r="G68" s="154"/>
    </row>
    <row r="69">
      <c r="A69" s="155" t="s">
        <v>1444</v>
      </c>
      <c r="B69" s="156" t="s">
        <v>67</v>
      </c>
      <c r="D69" s="156">
        <v>45.0</v>
      </c>
      <c r="E69" s="156" t="s">
        <v>1377</v>
      </c>
      <c r="G69" s="154"/>
    </row>
    <row r="70">
      <c r="A70" s="155" t="s">
        <v>1445</v>
      </c>
      <c r="B70" s="156" t="s">
        <v>106</v>
      </c>
      <c r="C70" s="156" t="s">
        <v>187</v>
      </c>
      <c r="D70" s="156">
        <v>46.0</v>
      </c>
      <c r="E70" s="156" t="s">
        <v>1377</v>
      </c>
      <c r="G70" s="154"/>
    </row>
    <row r="71">
      <c r="A71" s="155" t="s">
        <v>1446</v>
      </c>
      <c r="B71" s="156" t="s">
        <v>106</v>
      </c>
      <c r="C71" s="156" t="s">
        <v>187</v>
      </c>
      <c r="D71" s="156">
        <v>49.0</v>
      </c>
      <c r="E71" s="156" t="s">
        <v>1377</v>
      </c>
      <c r="G71" s="154"/>
    </row>
    <row r="72">
      <c r="A72" s="155" t="s">
        <v>1447</v>
      </c>
      <c r="B72" s="156" t="s">
        <v>67</v>
      </c>
      <c r="D72" s="156">
        <v>56.0</v>
      </c>
      <c r="E72" s="156" t="s">
        <v>1379</v>
      </c>
      <c r="G72" s="154"/>
    </row>
    <row r="73">
      <c r="A73" s="155" t="s">
        <v>1448</v>
      </c>
      <c r="B73" s="156" t="s">
        <v>67</v>
      </c>
      <c r="C73" s="156" t="s">
        <v>151</v>
      </c>
      <c r="D73" s="156">
        <v>28.0</v>
      </c>
      <c r="E73" s="156" t="s">
        <v>1375</v>
      </c>
      <c r="G73" s="154"/>
    </row>
    <row r="74">
      <c r="A74" s="155" t="s">
        <v>1449</v>
      </c>
      <c r="B74" s="156" t="s">
        <v>67</v>
      </c>
      <c r="C74" s="156" t="s">
        <v>187</v>
      </c>
      <c r="D74" s="156">
        <v>27.0</v>
      </c>
      <c r="E74" s="156" t="s">
        <v>1375</v>
      </c>
      <c r="G74" s="154"/>
    </row>
    <row r="75">
      <c r="A75" s="155" t="s">
        <v>1450</v>
      </c>
      <c r="B75" s="156" t="s">
        <v>67</v>
      </c>
      <c r="C75" s="156" t="s">
        <v>80</v>
      </c>
      <c r="D75" s="156">
        <v>22.0</v>
      </c>
      <c r="E75" s="156" t="s">
        <v>1375</v>
      </c>
      <c r="G75" s="154"/>
    </row>
    <row r="76">
      <c r="A76" s="155" t="s">
        <v>1451</v>
      </c>
      <c r="B76" s="156" t="s">
        <v>67</v>
      </c>
      <c r="C76" s="156" t="s">
        <v>187</v>
      </c>
      <c r="D76" s="156">
        <v>36.0</v>
      </c>
      <c r="E76" s="156" t="s">
        <v>1377</v>
      </c>
      <c r="G76" s="154"/>
    </row>
    <row r="77">
      <c r="A77" s="155" t="s">
        <v>1452</v>
      </c>
      <c r="B77" s="156" t="s">
        <v>106</v>
      </c>
      <c r="C77" s="156" t="s">
        <v>80</v>
      </c>
      <c r="D77" s="156">
        <v>48.0</v>
      </c>
      <c r="E77" s="156" t="s">
        <v>1377</v>
      </c>
      <c r="G77" s="154"/>
    </row>
    <row r="78">
      <c r="A78" s="155" t="s">
        <v>1453</v>
      </c>
      <c r="B78" s="156" t="s">
        <v>67</v>
      </c>
      <c r="C78" s="156" t="s">
        <v>80</v>
      </c>
      <c r="D78" s="156">
        <v>49.0</v>
      </c>
      <c r="E78" s="156" t="s">
        <v>1377</v>
      </c>
      <c r="G78" s="154"/>
    </row>
    <row r="79">
      <c r="A79" s="155" t="s">
        <v>1454</v>
      </c>
      <c r="B79" s="156" t="s">
        <v>67</v>
      </c>
      <c r="C79" s="156" t="s">
        <v>80</v>
      </c>
      <c r="D79" s="156">
        <v>20.0</v>
      </c>
      <c r="E79" s="156" t="s">
        <v>1375</v>
      </c>
      <c r="G79" s="154"/>
    </row>
    <row r="80">
      <c r="A80" s="155" t="s">
        <v>1455</v>
      </c>
      <c r="B80" s="156" t="s">
        <v>106</v>
      </c>
      <c r="C80" s="156" t="s">
        <v>151</v>
      </c>
      <c r="D80" s="156">
        <v>23.0</v>
      </c>
      <c r="E80" s="156" t="s">
        <v>1375</v>
      </c>
      <c r="G80" s="154"/>
    </row>
    <row r="81">
      <c r="A81" s="155" t="s">
        <v>1456</v>
      </c>
      <c r="B81" s="156" t="s">
        <v>67</v>
      </c>
      <c r="C81" s="156" t="s">
        <v>187</v>
      </c>
      <c r="D81" s="156">
        <v>28.0</v>
      </c>
      <c r="E81" s="156" t="s">
        <v>1375</v>
      </c>
      <c r="G81" s="154"/>
    </row>
    <row r="82">
      <c r="A82" s="155" t="s">
        <v>1457</v>
      </c>
      <c r="B82" s="156" t="s">
        <v>67</v>
      </c>
      <c r="C82" s="156" t="s">
        <v>80</v>
      </c>
      <c r="D82" s="156">
        <v>36.0</v>
      </c>
      <c r="E82" s="156" t="s">
        <v>1377</v>
      </c>
      <c r="G82" s="154"/>
    </row>
    <row r="83">
      <c r="A83" s="155" t="s">
        <v>1458</v>
      </c>
      <c r="B83" s="156" t="s">
        <v>67</v>
      </c>
      <c r="D83" s="156">
        <v>22.0</v>
      </c>
      <c r="E83" s="156" t="s">
        <v>1375</v>
      </c>
      <c r="G83" s="154"/>
    </row>
    <row r="84">
      <c r="A84" s="155" t="s">
        <v>1459</v>
      </c>
      <c r="B84" s="156" t="s">
        <v>106</v>
      </c>
      <c r="C84" s="156" t="s">
        <v>80</v>
      </c>
      <c r="D84" s="156">
        <v>28.0</v>
      </c>
      <c r="E84" s="156" t="s">
        <v>1375</v>
      </c>
      <c r="G84" s="154"/>
    </row>
    <row r="85">
      <c r="A85" s="155" t="s">
        <v>1460</v>
      </c>
      <c r="B85" s="156" t="s">
        <v>106</v>
      </c>
      <c r="C85" s="156" t="s">
        <v>80</v>
      </c>
      <c r="D85" s="156">
        <v>22.0</v>
      </c>
      <c r="E85" s="156" t="s">
        <v>1375</v>
      </c>
      <c r="G85" s="154"/>
    </row>
    <row r="86">
      <c r="A86" s="155" t="s">
        <v>1461</v>
      </c>
      <c r="B86" s="156" t="s">
        <v>67</v>
      </c>
      <c r="C86" s="156" t="s">
        <v>80</v>
      </c>
      <c r="D86" s="156">
        <v>50.0</v>
      </c>
      <c r="E86" s="156" t="s">
        <v>1377</v>
      </c>
      <c r="G86" s="154"/>
    </row>
    <row r="87">
      <c r="A87" s="155" t="s">
        <v>1462</v>
      </c>
      <c r="B87" s="156" t="s">
        <v>67</v>
      </c>
      <c r="C87" s="156" t="s">
        <v>151</v>
      </c>
      <c r="D87" s="156">
        <v>75.0</v>
      </c>
      <c r="E87" s="156" t="s">
        <v>1379</v>
      </c>
      <c r="G87" s="154"/>
    </row>
    <row r="88">
      <c r="A88" s="155" t="s">
        <v>1463</v>
      </c>
      <c r="B88" s="156" t="s">
        <v>67</v>
      </c>
      <c r="C88" s="156" t="s">
        <v>80</v>
      </c>
      <c r="D88" s="156">
        <v>55.0</v>
      </c>
      <c r="E88" s="156" t="s">
        <v>1377</v>
      </c>
      <c r="G88" s="154"/>
    </row>
    <row r="89">
      <c r="A89" s="155" t="s">
        <v>1464</v>
      </c>
      <c r="B89" s="156" t="s">
        <v>106</v>
      </c>
      <c r="C89" s="156" t="s">
        <v>80</v>
      </c>
      <c r="D89" s="156">
        <v>33.0</v>
      </c>
      <c r="E89" s="156" t="s">
        <v>1375</v>
      </c>
      <c r="G89" s="154"/>
    </row>
    <row r="90">
      <c r="A90" s="155" t="s">
        <v>1465</v>
      </c>
      <c r="B90" s="156" t="s">
        <v>67</v>
      </c>
      <c r="C90" s="156" t="s">
        <v>151</v>
      </c>
      <c r="D90" s="156">
        <v>28.0</v>
      </c>
      <c r="E90" s="156" t="s">
        <v>1375</v>
      </c>
      <c r="G90" s="154"/>
    </row>
    <row r="91">
      <c r="A91" s="155" t="s">
        <v>1466</v>
      </c>
      <c r="B91" s="156" t="s">
        <v>67</v>
      </c>
      <c r="C91" s="156" t="s">
        <v>80</v>
      </c>
      <c r="D91" s="156">
        <v>51.0</v>
      </c>
      <c r="E91" s="156" t="s">
        <v>1377</v>
      </c>
      <c r="G91" s="154"/>
    </row>
    <row r="92">
      <c r="A92" s="155" t="s">
        <v>1467</v>
      </c>
      <c r="B92" s="156" t="s">
        <v>67</v>
      </c>
      <c r="C92" s="156" t="s">
        <v>151</v>
      </c>
      <c r="D92" s="156">
        <v>61.0</v>
      </c>
      <c r="E92" s="156" t="s">
        <v>1379</v>
      </c>
      <c r="G92" s="154"/>
    </row>
    <row r="93">
      <c r="A93" s="155" t="s">
        <v>1468</v>
      </c>
      <c r="B93" s="156" t="s">
        <v>67</v>
      </c>
      <c r="C93" s="156" t="s">
        <v>80</v>
      </c>
      <c r="D93" s="156">
        <v>29.0</v>
      </c>
      <c r="E93" s="156" t="s">
        <v>1375</v>
      </c>
      <c r="G93" s="154"/>
    </row>
    <row r="94">
      <c r="A94" s="155" t="s">
        <v>1469</v>
      </c>
      <c r="B94" s="156" t="s">
        <v>106</v>
      </c>
      <c r="C94" s="156" t="s">
        <v>80</v>
      </c>
      <c r="D94" s="156">
        <v>29.0</v>
      </c>
      <c r="E94" s="156" t="s">
        <v>1375</v>
      </c>
      <c r="G94" s="154"/>
    </row>
    <row r="95">
      <c r="A95" s="155" t="s">
        <v>1470</v>
      </c>
      <c r="B95" s="156" t="s">
        <v>67</v>
      </c>
      <c r="C95" s="156" t="s">
        <v>80</v>
      </c>
      <c r="D95" s="156">
        <v>39.0</v>
      </c>
      <c r="E95" s="156" t="s">
        <v>1377</v>
      </c>
      <c r="G95" s="154"/>
    </row>
    <row r="96">
      <c r="A96" s="155" t="s">
        <v>1471</v>
      </c>
      <c r="B96" s="156" t="s">
        <v>106</v>
      </c>
      <c r="C96" s="156" t="s">
        <v>80</v>
      </c>
      <c r="D96" s="156">
        <v>30.0</v>
      </c>
      <c r="E96" s="156" t="s">
        <v>1375</v>
      </c>
      <c r="G96" s="157"/>
    </row>
    <row r="97">
      <c r="A97" s="155" t="s">
        <v>1472</v>
      </c>
      <c r="B97" s="156" t="s">
        <v>106</v>
      </c>
      <c r="C97" s="156" t="s">
        <v>80</v>
      </c>
      <c r="D97" s="156">
        <v>34.0</v>
      </c>
      <c r="E97" s="156" t="s">
        <v>1375</v>
      </c>
      <c r="G97" s="157"/>
    </row>
    <row r="98">
      <c r="A98" s="155" t="s">
        <v>1473</v>
      </c>
      <c r="B98" s="156" t="s">
        <v>67</v>
      </c>
      <c r="C98" s="156" t="s">
        <v>187</v>
      </c>
      <c r="D98" s="156">
        <v>31.0</v>
      </c>
      <c r="E98" s="156" t="s">
        <v>1375</v>
      </c>
      <c r="G98" s="157"/>
    </row>
    <row r="99">
      <c r="A99" s="155" t="s">
        <v>1474</v>
      </c>
      <c r="B99" s="156" t="s">
        <v>67</v>
      </c>
      <c r="C99" s="156" t="s">
        <v>187</v>
      </c>
      <c r="D99" s="156">
        <v>30.0</v>
      </c>
      <c r="E99" s="156" t="s">
        <v>1375</v>
      </c>
      <c r="G99" s="157"/>
    </row>
    <row r="100">
      <c r="A100" s="155" t="s">
        <v>1475</v>
      </c>
      <c r="B100" s="156" t="s">
        <v>67</v>
      </c>
      <c r="C100" s="156" t="s">
        <v>80</v>
      </c>
      <c r="D100" s="156">
        <v>30.0</v>
      </c>
      <c r="E100" s="156" t="s">
        <v>1375</v>
      </c>
      <c r="G100" s="157"/>
    </row>
    <row r="101">
      <c r="A101" s="155" t="s">
        <v>1476</v>
      </c>
      <c r="B101" s="156" t="s">
        <v>67</v>
      </c>
      <c r="C101" s="156" t="s">
        <v>80</v>
      </c>
      <c r="D101" s="156">
        <v>60.0</v>
      </c>
      <c r="E101" s="156" t="s">
        <v>1379</v>
      </c>
      <c r="G101" s="157"/>
    </row>
    <row r="102">
      <c r="A102" s="155" t="s">
        <v>1477</v>
      </c>
      <c r="B102" s="156" t="s">
        <v>67</v>
      </c>
      <c r="C102" s="156" t="s">
        <v>80</v>
      </c>
      <c r="D102" s="156">
        <v>44.0</v>
      </c>
      <c r="E102" s="156" t="s">
        <v>1377</v>
      </c>
      <c r="G102" s="157"/>
    </row>
    <row r="103">
      <c r="A103" s="155" t="s">
        <v>1478</v>
      </c>
      <c r="B103" s="156" t="s">
        <v>67</v>
      </c>
      <c r="C103" s="156" t="s">
        <v>80</v>
      </c>
      <c r="D103" s="156">
        <v>31.0</v>
      </c>
      <c r="E103" s="156" t="s">
        <v>1375</v>
      </c>
      <c r="G103" s="157"/>
    </row>
    <row r="104">
      <c r="A104" s="155" t="s">
        <v>1479</v>
      </c>
      <c r="B104" s="156" t="s">
        <v>67</v>
      </c>
      <c r="C104" s="156" t="s">
        <v>80</v>
      </c>
      <c r="D104" s="156">
        <v>30.0</v>
      </c>
      <c r="E104" s="156" t="s">
        <v>1375</v>
      </c>
      <c r="G104" s="157"/>
    </row>
    <row r="105">
      <c r="A105" s="155" t="s">
        <v>1480</v>
      </c>
      <c r="B105" s="156" t="s">
        <v>67</v>
      </c>
      <c r="C105" s="156" t="s">
        <v>151</v>
      </c>
      <c r="D105" s="156">
        <v>59.0</v>
      </c>
      <c r="E105" s="156" t="s">
        <v>1379</v>
      </c>
      <c r="G105" s="157"/>
    </row>
    <row r="106">
      <c r="A106" s="155" t="s">
        <v>1481</v>
      </c>
      <c r="B106" s="156" t="s">
        <v>106</v>
      </c>
      <c r="C106" s="156" t="s">
        <v>151</v>
      </c>
      <c r="D106" s="156">
        <v>64.0</v>
      </c>
      <c r="E106" s="156" t="s">
        <v>1379</v>
      </c>
      <c r="G106" s="157"/>
    </row>
    <row r="107">
      <c r="A107" s="155" t="s">
        <v>1482</v>
      </c>
      <c r="B107" s="156" t="s">
        <v>67</v>
      </c>
      <c r="C107" s="156" t="s">
        <v>80</v>
      </c>
      <c r="D107" s="156">
        <v>28.0</v>
      </c>
      <c r="E107" s="156" t="s">
        <v>1375</v>
      </c>
      <c r="G107" s="157"/>
    </row>
    <row r="108">
      <c r="A108" s="155" t="s">
        <v>1483</v>
      </c>
      <c r="B108" s="156" t="s">
        <v>67</v>
      </c>
      <c r="D108" s="156">
        <v>28.0</v>
      </c>
      <c r="E108" s="156" t="s">
        <v>1375</v>
      </c>
      <c r="G108" s="157"/>
    </row>
    <row r="109">
      <c r="A109" s="155" t="s">
        <v>1484</v>
      </c>
      <c r="B109" s="156" t="s">
        <v>67</v>
      </c>
      <c r="D109" s="156">
        <v>45.0</v>
      </c>
      <c r="E109" s="156" t="s">
        <v>1377</v>
      </c>
      <c r="G109" s="157"/>
    </row>
    <row r="110">
      <c r="A110" s="155" t="s">
        <v>1485</v>
      </c>
      <c r="B110" s="156" t="s">
        <v>67</v>
      </c>
      <c r="C110" s="156" t="s">
        <v>80</v>
      </c>
      <c r="D110" s="156">
        <v>63.0</v>
      </c>
      <c r="E110" s="156" t="s">
        <v>1379</v>
      </c>
      <c r="G110" s="157"/>
    </row>
    <row r="111">
      <c r="A111" s="155" t="s">
        <v>1486</v>
      </c>
      <c r="B111" s="156" t="s">
        <v>67</v>
      </c>
      <c r="C111" s="156" t="s">
        <v>80</v>
      </c>
      <c r="D111" s="156">
        <v>44.0</v>
      </c>
      <c r="E111" s="156" t="s">
        <v>1377</v>
      </c>
      <c r="G111" s="157"/>
    </row>
    <row r="112">
      <c r="A112" s="155" t="s">
        <v>1487</v>
      </c>
      <c r="B112" s="156" t="s">
        <v>67</v>
      </c>
      <c r="C112" s="156" t="s">
        <v>80</v>
      </c>
      <c r="D112" s="156">
        <v>47.0</v>
      </c>
      <c r="E112" s="156" t="s">
        <v>1377</v>
      </c>
      <c r="G112" s="157"/>
    </row>
    <row r="113">
      <c r="A113" s="155" t="s">
        <v>1488</v>
      </c>
      <c r="B113" s="156" t="s">
        <v>67</v>
      </c>
      <c r="C113" s="156" t="s">
        <v>80</v>
      </c>
      <c r="D113" s="156">
        <v>21.0</v>
      </c>
      <c r="E113" s="156" t="s">
        <v>1375</v>
      </c>
      <c r="G113" s="157"/>
    </row>
    <row r="114">
      <c r="A114" s="155" t="s">
        <v>1489</v>
      </c>
      <c r="B114" s="156" t="s">
        <v>106</v>
      </c>
      <c r="C114" s="156" t="s">
        <v>151</v>
      </c>
      <c r="D114" s="156">
        <v>23.0</v>
      </c>
      <c r="E114" s="156" t="s">
        <v>1375</v>
      </c>
      <c r="G114" s="157"/>
    </row>
    <row r="115">
      <c r="A115" s="155" t="s">
        <v>1490</v>
      </c>
      <c r="B115" s="156" t="s">
        <v>67</v>
      </c>
      <c r="C115" s="156" t="s">
        <v>80</v>
      </c>
      <c r="D115" s="156">
        <v>-85.0</v>
      </c>
      <c r="E115" s="156" t="s">
        <v>1375</v>
      </c>
      <c r="G115" s="157"/>
    </row>
    <row r="116">
      <c r="A116" s="155" t="s">
        <v>1491</v>
      </c>
      <c r="B116" s="156" t="s">
        <v>67</v>
      </c>
      <c r="C116" s="156" t="s">
        <v>151</v>
      </c>
      <c r="D116" s="156">
        <v>23.0</v>
      </c>
      <c r="E116" s="156" t="s">
        <v>1375</v>
      </c>
      <c r="G116" s="157"/>
    </row>
    <row r="117">
      <c r="A117" s="155" t="s">
        <v>1492</v>
      </c>
      <c r="B117" s="156" t="s">
        <v>67</v>
      </c>
      <c r="C117" s="156" t="s">
        <v>80</v>
      </c>
      <c r="D117" s="156">
        <v>26.0</v>
      </c>
      <c r="E117" s="156" t="s">
        <v>1375</v>
      </c>
      <c r="G117" s="157"/>
    </row>
    <row r="118">
      <c r="A118" s="155" t="s">
        <v>1493</v>
      </c>
      <c r="B118" s="156" t="s">
        <v>67</v>
      </c>
      <c r="C118" s="156" t="s">
        <v>187</v>
      </c>
      <c r="D118" s="156">
        <v>27.0</v>
      </c>
      <c r="E118" s="156" t="s">
        <v>1375</v>
      </c>
      <c r="G118" s="157"/>
    </row>
    <row r="119">
      <c r="A119" s="155" t="s">
        <v>1494</v>
      </c>
      <c r="B119" s="156" t="s">
        <v>106</v>
      </c>
      <c r="C119" s="156" t="s">
        <v>187</v>
      </c>
      <c r="D119" s="156">
        <v>24.0</v>
      </c>
      <c r="E119" s="156" t="s">
        <v>1375</v>
      </c>
      <c r="G119" s="157"/>
    </row>
    <row r="120">
      <c r="A120" s="155" t="s">
        <v>1495</v>
      </c>
      <c r="B120" s="156" t="s">
        <v>67</v>
      </c>
      <c r="C120" s="156" t="s">
        <v>80</v>
      </c>
      <c r="D120" s="156">
        <v>53.0</v>
      </c>
      <c r="E120" s="156" t="s">
        <v>1377</v>
      </c>
      <c r="G120" s="157"/>
    </row>
    <row r="121">
      <c r="A121" s="155" t="s">
        <v>1496</v>
      </c>
      <c r="B121" s="156" t="s">
        <v>67</v>
      </c>
      <c r="C121" s="156" t="s">
        <v>80</v>
      </c>
      <c r="D121" s="156">
        <v>29.0</v>
      </c>
      <c r="E121" s="156" t="s">
        <v>1375</v>
      </c>
      <c r="G121" s="157"/>
    </row>
    <row r="122">
      <c r="A122" s="155" t="s">
        <v>1497</v>
      </c>
      <c r="B122" s="156" t="s">
        <v>67</v>
      </c>
      <c r="C122" s="156" t="s">
        <v>187</v>
      </c>
      <c r="D122" s="156">
        <v>22.0</v>
      </c>
      <c r="E122" s="156" t="s">
        <v>1375</v>
      </c>
      <c r="G122" s="157"/>
    </row>
    <row r="123">
      <c r="A123" s="155" t="s">
        <v>1498</v>
      </c>
      <c r="B123" s="156" t="s">
        <v>67</v>
      </c>
      <c r="C123" s="156" t="s">
        <v>80</v>
      </c>
      <c r="D123" s="156">
        <v>20.0</v>
      </c>
      <c r="E123" s="156" t="s">
        <v>1375</v>
      </c>
      <c r="G123" s="157"/>
    </row>
    <row r="124">
      <c r="A124" s="155" t="s">
        <v>1499</v>
      </c>
      <c r="B124" s="156" t="s">
        <v>67</v>
      </c>
      <c r="C124" s="156" t="s">
        <v>80</v>
      </c>
      <c r="D124" s="156">
        <v>22.0</v>
      </c>
      <c r="E124" s="156" t="s">
        <v>1375</v>
      </c>
      <c r="G124" s="157"/>
    </row>
    <row r="125">
      <c r="A125" s="155" t="s">
        <v>1500</v>
      </c>
      <c r="B125" s="156" t="s">
        <v>67</v>
      </c>
      <c r="D125" s="156">
        <v>68.0</v>
      </c>
      <c r="E125" s="156" t="s">
        <v>1379</v>
      </c>
      <c r="G125" s="157"/>
    </row>
    <row r="126">
      <c r="A126" s="155" t="s">
        <v>1501</v>
      </c>
      <c r="B126" s="156" t="s">
        <v>67</v>
      </c>
      <c r="C126" s="156" t="s">
        <v>80</v>
      </c>
      <c r="D126" s="156">
        <v>40.0</v>
      </c>
      <c r="E126" s="156" t="s">
        <v>1377</v>
      </c>
      <c r="G126" s="157"/>
    </row>
    <row r="127">
      <c r="A127" s="155" t="s">
        <v>1502</v>
      </c>
      <c r="B127" s="156" t="s">
        <v>106</v>
      </c>
      <c r="C127" s="156" t="s">
        <v>80</v>
      </c>
      <c r="D127" s="156">
        <v>26.0</v>
      </c>
      <c r="E127" s="156" t="s">
        <v>1375</v>
      </c>
      <c r="G127" s="157"/>
    </row>
    <row r="128">
      <c r="A128" s="155" t="s">
        <v>1503</v>
      </c>
      <c r="B128" s="156" t="s">
        <v>67</v>
      </c>
      <c r="C128" s="156" t="s">
        <v>80</v>
      </c>
      <c r="D128" s="156">
        <v>25.0</v>
      </c>
      <c r="E128" s="156" t="s">
        <v>1375</v>
      </c>
      <c r="G128" s="157"/>
    </row>
    <row r="129">
      <c r="A129" s="155" t="s">
        <v>1504</v>
      </c>
      <c r="B129" s="156" t="s">
        <v>106</v>
      </c>
      <c r="C129" s="156" t="s">
        <v>80</v>
      </c>
      <c r="D129" s="156">
        <v>30.0</v>
      </c>
      <c r="E129" s="156" t="s">
        <v>1375</v>
      </c>
      <c r="G129" s="157"/>
    </row>
    <row r="130">
      <c r="A130" s="155" t="s">
        <v>1505</v>
      </c>
      <c r="B130" s="156" t="s">
        <v>67</v>
      </c>
      <c r="C130" s="156" t="s">
        <v>151</v>
      </c>
      <c r="D130" s="156">
        <v>60.0</v>
      </c>
      <c r="E130" s="156" t="s">
        <v>1379</v>
      </c>
      <c r="G130" s="157"/>
    </row>
    <row r="131">
      <c r="A131" s="155" t="s">
        <v>1506</v>
      </c>
      <c r="B131" s="156" t="s">
        <v>67</v>
      </c>
      <c r="C131" s="156" t="s">
        <v>187</v>
      </c>
      <c r="D131" s="156">
        <v>52.0</v>
      </c>
      <c r="E131" s="156" t="s">
        <v>1377</v>
      </c>
      <c r="G131" s="157"/>
    </row>
    <row r="132">
      <c r="A132" s="155" t="s">
        <v>1507</v>
      </c>
      <c r="B132" s="156" t="s">
        <v>106</v>
      </c>
      <c r="C132" s="156" t="s">
        <v>151</v>
      </c>
      <c r="D132" s="156">
        <v>78.0</v>
      </c>
      <c r="E132" s="156" t="s">
        <v>1379</v>
      </c>
      <c r="G132" s="157"/>
    </row>
    <row r="133">
      <c r="A133" s="155" t="s">
        <v>1508</v>
      </c>
      <c r="B133" s="156" t="s">
        <v>106</v>
      </c>
      <c r="C133" s="156" t="s">
        <v>151</v>
      </c>
      <c r="D133" s="156">
        <v>40.0</v>
      </c>
      <c r="E133" s="156" t="s">
        <v>1377</v>
      </c>
      <c r="G133" s="157"/>
    </row>
    <row r="134">
      <c r="A134" s="155" t="s">
        <v>1509</v>
      </c>
      <c r="B134" s="156" t="s">
        <v>67</v>
      </c>
      <c r="C134" s="156" t="s">
        <v>80</v>
      </c>
      <c r="D134" s="156">
        <v>37.0</v>
      </c>
      <c r="E134" s="156" t="s">
        <v>1377</v>
      </c>
      <c r="G134" s="157"/>
    </row>
    <row r="135">
      <c r="A135" s="155" t="s">
        <v>1510</v>
      </c>
      <c r="B135" s="156" t="s">
        <v>67</v>
      </c>
      <c r="C135" s="156" t="s">
        <v>187</v>
      </c>
      <c r="D135" s="156">
        <v>36.0</v>
      </c>
      <c r="E135" s="156" t="s">
        <v>1377</v>
      </c>
      <c r="G135" s="157"/>
    </row>
    <row r="136">
      <c r="A136" s="155" t="s">
        <v>1511</v>
      </c>
      <c r="B136" s="156" t="s">
        <v>106</v>
      </c>
      <c r="C136" s="156" t="s">
        <v>80</v>
      </c>
      <c r="D136" s="156">
        <v>31.0</v>
      </c>
      <c r="E136" s="156" t="s">
        <v>1375</v>
      </c>
      <c r="G136" s="157"/>
    </row>
    <row r="137">
      <c r="A137" s="155" t="s">
        <v>1512</v>
      </c>
      <c r="B137" s="156" t="s">
        <v>67</v>
      </c>
      <c r="C137" s="156" t="s">
        <v>80</v>
      </c>
      <c r="D137" s="156">
        <v>56.0</v>
      </c>
      <c r="E137" s="156" t="s">
        <v>1379</v>
      </c>
      <c r="G137" s="157"/>
    </row>
    <row r="138">
      <c r="A138" s="155" t="s">
        <v>1513</v>
      </c>
      <c r="B138" s="156" t="s">
        <v>67</v>
      </c>
      <c r="C138" s="156" t="s">
        <v>151</v>
      </c>
      <c r="D138" s="156">
        <v>80.0</v>
      </c>
      <c r="E138" s="156" t="s">
        <v>1379</v>
      </c>
      <c r="G138" s="157"/>
    </row>
    <row r="139">
      <c r="A139" s="155" t="s">
        <v>1514</v>
      </c>
      <c r="B139" s="156" t="s">
        <v>67</v>
      </c>
      <c r="C139" s="156" t="s">
        <v>151</v>
      </c>
      <c r="D139" s="156">
        <v>59.0</v>
      </c>
      <c r="E139" s="156" t="s">
        <v>1379</v>
      </c>
      <c r="G139" s="157"/>
    </row>
    <row r="140">
      <c r="A140" s="155" t="s">
        <v>1515</v>
      </c>
      <c r="B140" s="156" t="s">
        <v>106</v>
      </c>
      <c r="C140" s="156" t="s">
        <v>80</v>
      </c>
      <c r="D140" s="156">
        <v>29.0</v>
      </c>
      <c r="E140" s="156" t="s">
        <v>1375</v>
      </c>
      <c r="G140" s="157"/>
    </row>
    <row r="141">
      <c r="A141" s="155" t="s">
        <v>1516</v>
      </c>
      <c r="B141" s="156" t="s">
        <v>67</v>
      </c>
      <c r="C141" s="156" t="s">
        <v>187</v>
      </c>
      <c r="D141" s="156">
        <v>28.0</v>
      </c>
      <c r="E141" s="156" t="s">
        <v>1375</v>
      </c>
      <c r="G141" s="157"/>
    </row>
    <row r="142">
      <c r="A142" s="155" t="s">
        <v>1517</v>
      </c>
      <c r="B142" s="156" t="s">
        <v>67</v>
      </c>
      <c r="C142" s="156" t="s">
        <v>80</v>
      </c>
      <c r="D142" s="156">
        <v>56.0</v>
      </c>
      <c r="E142" s="156" t="s">
        <v>1379</v>
      </c>
      <c r="G142" s="157"/>
    </row>
    <row r="143">
      <c r="A143" s="155" t="s">
        <v>1518</v>
      </c>
      <c r="B143" s="156" t="s">
        <v>67</v>
      </c>
      <c r="C143" s="156" t="s">
        <v>151</v>
      </c>
      <c r="D143" s="156">
        <v>56.0</v>
      </c>
      <c r="E143" s="156" t="s">
        <v>1379</v>
      </c>
      <c r="G143" s="157"/>
    </row>
    <row r="144">
      <c r="A144" s="155" t="s">
        <v>1519</v>
      </c>
      <c r="B144" s="156" t="s">
        <v>67</v>
      </c>
      <c r="C144" s="156" t="s">
        <v>80</v>
      </c>
      <c r="D144" s="156">
        <v>74.0</v>
      </c>
      <c r="E144" s="156" t="s">
        <v>1379</v>
      </c>
      <c r="G144" s="157"/>
    </row>
    <row r="145">
      <c r="A145" s="155" t="s">
        <v>1520</v>
      </c>
      <c r="B145" s="156" t="s">
        <v>106</v>
      </c>
      <c r="C145" s="156" t="s">
        <v>80</v>
      </c>
      <c r="D145" s="156">
        <v>23.0</v>
      </c>
      <c r="E145" s="156" t="s">
        <v>1375</v>
      </c>
      <c r="G145" s="157"/>
    </row>
    <row r="146">
      <c r="A146" s="155" t="s">
        <v>1521</v>
      </c>
      <c r="B146" s="156" t="s">
        <v>67</v>
      </c>
      <c r="C146" s="156" t="s">
        <v>151</v>
      </c>
      <c r="D146" s="156">
        <v>62.0</v>
      </c>
      <c r="E146" s="156" t="s">
        <v>1379</v>
      </c>
      <c r="G146" s="157"/>
    </row>
    <row r="147">
      <c r="A147" s="155" t="s">
        <v>1522</v>
      </c>
      <c r="B147" s="156" t="s">
        <v>106</v>
      </c>
      <c r="C147" s="156" t="s">
        <v>187</v>
      </c>
      <c r="D147" s="156">
        <v>21.0</v>
      </c>
      <c r="E147" s="156" t="s">
        <v>1375</v>
      </c>
      <c r="G147" s="157"/>
    </row>
    <row r="148">
      <c r="A148" s="155" t="s">
        <v>1523</v>
      </c>
      <c r="B148" s="156" t="s">
        <v>67</v>
      </c>
      <c r="C148" s="156" t="s">
        <v>80</v>
      </c>
      <c r="D148" s="156">
        <v>51.0</v>
      </c>
      <c r="E148" s="156" t="s">
        <v>1377</v>
      </c>
      <c r="G148" s="157"/>
    </row>
    <row r="149">
      <c r="A149" s="155" t="s">
        <v>1524</v>
      </c>
      <c r="B149" s="156" t="s">
        <v>67</v>
      </c>
      <c r="C149" s="156" t="s">
        <v>151</v>
      </c>
      <c r="D149" s="156">
        <v>54.0</v>
      </c>
      <c r="E149" s="156" t="s">
        <v>1377</v>
      </c>
      <c r="G149" s="157"/>
    </row>
    <row r="150">
      <c r="A150" s="155" t="s">
        <v>1525</v>
      </c>
      <c r="B150" s="156" t="s">
        <v>67</v>
      </c>
      <c r="C150" s="156" t="s">
        <v>151</v>
      </c>
      <c r="D150" s="156">
        <v>18.0</v>
      </c>
      <c r="E150" s="156" t="s">
        <v>1375</v>
      </c>
      <c r="G150" s="157"/>
    </row>
    <row r="151">
      <c r="A151" s="155" t="s">
        <v>1526</v>
      </c>
      <c r="B151" s="156" t="s">
        <v>67</v>
      </c>
      <c r="C151" s="156" t="s">
        <v>80</v>
      </c>
      <c r="D151" s="156">
        <v>52.0</v>
      </c>
      <c r="E151" s="156" t="s">
        <v>1377</v>
      </c>
      <c r="G151" s="157"/>
    </row>
    <row r="152">
      <c r="A152" s="155" t="s">
        <v>1527</v>
      </c>
      <c r="B152" s="156" t="s">
        <v>106</v>
      </c>
      <c r="C152" s="156" t="s">
        <v>80</v>
      </c>
      <c r="D152" s="156">
        <v>52.0</v>
      </c>
      <c r="E152" s="156" t="s">
        <v>1377</v>
      </c>
      <c r="G152" s="157"/>
    </row>
    <row r="153">
      <c r="A153" s="155" t="s">
        <v>1528</v>
      </c>
      <c r="B153" s="156" t="s">
        <v>106</v>
      </c>
      <c r="C153" s="156" t="s">
        <v>187</v>
      </c>
      <c r="D153" s="156">
        <v>23.0</v>
      </c>
      <c r="E153" s="156" t="s">
        <v>1375</v>
      </c>
      <c r="G153" s="157"/>
    </row>
    <row r="154">
      <c r="A154" s="155" t="s">
        <v>1529</v>
      </c>
      <c r="B154" s="156" t="s">
        <v>106</v>
      </c>
      <c r="C154" s="156" t="s">
        <v>80</v>
      </c>
      <c r="D154" s="156">
        <v>24.0</v>
      </c>
      <c r="E154" s="156" t="s">
        <v>1375</v>
      </c>
      <c r="G154" s="157"/>
    </row>
    <row r="155">
      <c r="A155" s="155" t="s">
        <v>1530</v>
      </c>
      <c r="B155" s="156" t="s">
        <v>106</v>
      </c>
      <c r="C155" s="156" t="s">
        <v>187</v>
      </c>
      <c r="D155" s="156">
        <v>63.0</v>
      </c>
      <c r="E155" s="156" t="s">
        <v>1379</v>
      </c>
      <c r="G155" s="157"/>
    </row>
    <row r="156">
      <c r="A156" s="155" t="s">
        <v>1531</v>
      </c>
      <c r="B156" s="156" t="s">
        <v>106</v>
      </c>
      <c r="C156" s="156" t="s">
        <v>151</v>
      </c>
      <c r="D156" s="156">
        <v>24.0</v>
      </c>
      <c r="E156" s="156" t="s">
        <v>1375</v>
      </c>
      <c r="G156" s="157"/>
    </row>
    <row r="157">
      <c r="A157" s="155" t="s">
        <v>1532</v>
      </c>
      <c r="B157" s="156" t="s">
        <v>106</v>
      </c>
      <c r="C157" s="156" t="s">
        <v>187</v>
      </c>
      <c r="D157" s="156">
        <v>23.0</v>
      </c>
      <c r="E157" s="156" t="s">
        <v>1375</v>
      </c>
      <c r="G157" s="157"/>
    </row>
    <row r="158">
      <c r="A158" s="155" t="s">
        <v>1533</v>
      </c>
      <c r="B158" s="156" t="s">
        <v>67</v>
      </c>
      <c r="C158" s="156" t="s">
        <v>80</v>
      </c>
      <c r="D158" s="156">
        <v>24.0</v>
      </c>
      <c r="E158" s="156" t="s">
        <v>1375</v>
      </c>
      <c r="G158" s="157"/>
    </row>
    <row r="159">
      <c r="A159" s="155" t="s">
        <v>1534</v>
      </c>
      <c r="B159" s="156" t="s">
        <v>67</v>
      </c>
      <c r="C159" s="156" t="s">
        <v>80</v>
      </c>
      <c r="D159" s="156">
        <v>27.0</v>
      </c>
      <c r="E159" s="156" t="s">
        <v>1375</v>
      </c>
      <c r="G159" s="157"/>
    </row>
    <row r="160">
      <c r="A160" s="155" t="s">
        <v>1535</v>
      </c>
      <c r="B160" s="156" t="s">
        <v>67</v>
      </c>
      <c r="C160" s="156" t="s">
        <v>151</v>
      </c>
      <c r="D160" s="156">
        <v>49.0</v>
      </c>
      <c r="E160" s="156" t="s">
        <v>1377</v>
      </c>
      <c r="G160" s="157"/>
    </row>
    <row r="161">
      <c r="A161" s="155" t="s">
        <v>1536</v>
      </c>
      <c r="B161" s="156" t="s">
        <v>106</v>
      </c>
      <c r="C161" s="156" t="s">
        <v>80</v>
      </c>
      <c r="D161" s="156">
        <v>30.0</v>
      </c>
      <c r="E161" s="156" t="s">
        <v>1375</v>
      </c>
      <c r="G161" s="157"/>
    </row>
    <row r="162">
      <c r="A162" s="155" t="s">
        <v>1537</v>
      </c>
      <c r="B162" s="156" t="s">
        <v>67</v>
      </c>
      <c r="C162" s="156" t="s">
        <v>80</v>
      </c>
      <c r="D162" s="156">
        <v>28.0</v>
      </c>
      <c r="E162" s="156" t="s">
        <v>1375</v>
      </c>
      <c r="G162" s="157"/>
    </row>
    <row r="163">
      <c r="A163" s="155" t="s">
        <v>1538</v>
      </c>
      <c r="B163" s="156" t="s">
        <v>106</v>
      </c>
      <c r="C163" s="156" t="s">
        <v>187</v>
      </c>
      <c r="D163" s="156">
        <v>23.0</v>
      </c>
      <c r="E163" s="156" t="s">
        <v>1375</v>
      </c>
      <c r="G163" s="157"/>
    </row>
    <row r="164">
      <c r="A164" s="155" t="s">
        <v>1539</v>
      </c>
      <c r="B164" s="156" t="s">
        <v>106</v>
      </c>
      <c r="C164" s="156" t="s">
        <v>151</v>
      </c>
      <c r="D164" s="156">
        <v>81.0</v>
      </c>
      <c r="E164" s="156" t="s">
        <v>1379</v>
      </c>
      <c r="G164" s="157"/>
    </row>
    <row r="165">
      <c r="A165" s="155" t="s">
        <v>1540</v>
      </c>
      <c r="B165" s="156" t="s">
        <v>67</v>
      </c>
      <c r="C165" s="156" t="s">
        <v>80</v>
      </c>
      <c r="D165" s="156">
        <v>34.0</v>
      </c>
      <c r="E165" s="156" t="s">
        <v>1375</v>
      </c>
      <c r="G165" s="157"/>
    </row>
    <row r="166">
      <c r="A166" s="155" t="s">
        <v>1541</v>
      </c>
      <c r="B166" s="156" t="s">
        <v>67</v>
      </c>
      <c r="C166" s="156" t="s">
        <v>80</v>
      </c>
      <c r="D166" s="156">
        <v>24.0</v>
      </c>
      <c r="E166" s="156" t="s">
        <v>1375</v>
      </c>
      <c r="G166" s="157"/>
    </row>
    <row r="167">
      <c r="A167" s="155" t="s">
        <v>1542</v>
      </c>
      <c r="B167" s="156" t="s">
        <v>67</v>
      </c>
      <c r="C167" s="156" t="s">
        <v>80</v>
      </c>
      <c r="D167" s="156">
        <v>22.0</v>
      </c>
      <c r="E167" s="156" t="s">
        <v>1375</v>
      </c>
      <c r="G167" s="157"/>
    </row>
    <row r="168">
      <c r="A168" s="155" t="s">
        <v>1543</v>
      </c>
      <c r="B168" s="156" t="s">
        <v>67</v>
      </c>
      <c r="C168" s="156" t="s">
        <v>80</v>
      </c>
      <c r="D168" s="156">
        <v>54.0</v>
      </c>
      <c r="E168" s="156" t="s">
        <v>1377</v>
      </c>
      <c r="G168" s="157"/>
    </row>
    <row r="169">
      <c r="A169" s="155" t="s">
        <v>1544</v>
      </c>
      <c r="B169" s="156" t="s">
        <v>67</v>
      </c>
      <c r="C169" s="156" t="s">
        <v>80</v>
      </c>
      <c r="D169" s="156">
        <v>26.0</v>
      </c>
      <c r="E169" s="156" t="s">
        <v>1375</v>
      </c>
      <c r="G169" s="157"/>
    </row>
    <row r="170">
      <c r="A170" s="155" t="s">
        <v>1545</v>
      </c>
      <c r="B170" s="156" t="s">
        <v>67</v>
      </c>
      <c r="C170" s="156" t="s">
        <v>80</v>
      </c>
      <c r="D170" s="156">
        <v>26.0</v>
      </c>
      <c r="E170" s="156" t="s">
        <v>1375</v>
      </c>
      <c r="G170" s="157"/>
    </row>
    <row r="171">
      <c r="A171" s="155" t="s">
        <v>1546</v>
      </c>
      <c r="B171" s="156" t="s">
        <v>67</v>
      </c>
      <c r="C171" s="156" t="s">
        <v>80</v>
      </c>
      <c r="D171" s="156">
        <v>25.0</v>
      </c>
      <c r="E171" s="156" t="s">
        <v>1375</v>
      </c>
      <c r="G171" s="157"/>
    </row>
    <row r="172">
      <c r="A172" s="155" t="s">
        <v>1547</v>
      </c>
      <c r="B172" s="156" t="s">
        <v>67</v>
      </c>
      <c r="C172" s="156" t="s">
        <v>80</v>
      </c>
      <c r="D172" s="156">
        <v>28.0</v>
      </c>
      <c r="E172" s="156" t="s">
        <v>1375</v>
      </c>
      <c r="G172" s="157"/>
    </row>
    <row r="173">
      <c r="A173" s="155" t="s">
        <v>1548</v>
      </c>
      <c r="B173" s="156" t="s">
        <v>67</v>
      </c>
      <c r="D173" s="156">
        <v>22.0</v>
      </c>
      <c r="E173" s="156" t="s">
        <v>1375</v>
      </c>
      <c r="G173" s="157"/>
    </row>
    <row r="174">
      <c r="A174" s="155" t="s">
        <v>1549</v>
      </c>
      <c r="B174" s="156" t="s">
        <v>67</v>
      </c>
      <c r="C174" s="156" t="s">
        <v>187</v>
      </c>
      <c r="D174" s="156">
        <v>26.0</v>
      </c>
      <c r="E174" s="156" t="s">
        <v>1375</v>
      </c>
      <c r="G174" s="157"/>
    </row>
    <row r="175">
      <c r="A175" s="155" t="s">
        <v>1550</v>
      </c>
      <c r="B175" s="156" t="s">
        <v>67</v>
      </c>
      <c r="C175" s="156" t="s">
        <v>80</v>
      </c>
      <c r="D175" s="156">
        <v>37.0</v>
      </c>
      <c r="E175" s="156" t="s">
        <v>1377</v>
      </c>
      <c r="G175" s="157"/>
    </row>
    <row r="176">
      <c r="A176" s="155" t="s">
        <v>1551</v>
      </c>
      <c r="B176" s="156" t="s">
        <v>67</v>
      </c>
      <c r="C176" s="156" t="s">
        <v>187</v>
      </c>
      <c r="D176" s="156">
        <v>21.0</v>
      </c>
      <c r="E176" s="156" t="s">
        <v>1375</v>
      </c>
      <c r="G176" s="157"/>
    </row>
    <row r="177">
      <c r="A177" s="155" t="s">
        <v>1552</v>
      </c>
      <c r="B177" s="156" t="s">
        <v>67</v>
      </c>
      <c r="D177" s="156">
        <v>25.0</v>
      </c>
      <c r="E177" s="156" t="s">
        <v>1375</v>
      </c>
      <c r="G177" s="157"/>
    </row>
    <row r="178">
      <c r="A178" s="155" t="s">
        <v>1553</v>
      </c>
      <c r="B178" s="156" t="s">
        <v>67</v>
      </c>
      <c r="D178" s="156">
        <v>22.0</v>
      </c>
      <c r="E178" s="156" t="s">
        <v>1375</v>
      </c>
      <c r="G178" s="157"/>
    </row>
    <row r="179">
      <c r="A179" s="155" t="s">
        <v>1554</v>
      </c>
      <c r="B179" s="156" t="s">
        <v>106</v>
      </c>
      <c r="C179" s="156" t="s">
        <v>187</v>
      </c>
      <c r="D179" s="156">
        <v>23.0</v>
      </c>
      <c r="E179" s="156" t="s">
        <v>1375</v>
      </c>
      <c r="G179" s="157"/>
    </row>
    <row r="180">
      <c r="A180" s="155" t="s">
        <v>1555</v>
      </c>
      <c r="B180" s="156" t="s">
        <v>106</v>
      </c>
      <c r="C180" s="156" t="s">
        <v>151</v>
      </c>
      <c r="D180" s="156">
        <v>43.0</v>
      </c>
      <c r="E180" s="156" t="s">
        <v>1377</v>
      </c>
      <c r="G180" s="157"/>
    </row>
    <row r="181">
      <c r="A181" s="155" t="s">
        <v>1556</v>
      </c>
      <c r="B181" s="156" t="s">
        <v>67</v>
      </c>
      <c r="D181" s="156">
        <v>25.0</v>
      </c>
      <c r="E181" s="156" t="s">
        <v>1375</v>
      </c>
      <c r="G181" s="157"/>
    </row>
    <row r="182">
      <c r="A182" s="155" t="s">
        <v>1557</v>
      </c>
      <c r="B182" s="156" t="s">
        <v>67</v>
      </c>
      <c r="D182" s="156">
        <v>26.0</v>
      </c>
      <c r="E182" s="156" t="s">
        <v>1375</v>
      </c>
      <c r="G182" s="157"/>
    </row>
    <row r="183">
      <c r="A183" s="155" t="s">
        <v>1558</v>
      </c>
      <c r="B183" s="156" t="s">
        <v>67</v>
      </c>
      <c r="D183" s="156">
        <v>32.0</v>
      </c>
      <c r="E183" s="156" t="s">
        <v>1375</v>
      </c>
      <c r="G183" s="157"/>
    </row>
    <row r="184">
      <c r="A184" s="155" t="s">
        <v>1559</v>
      </c>
      <c r="B184" s="156" t="s">
        <v>106</v>
      </c>
      <c r="D184" s="156">
        <v>29.0</v>
      </c>
      <c r="E184" s="156" t="s">
        <v>1375</v>
      </c>
      <c r="G184" s="157"/>
    </row>
    <row r="185">
      <c r="A185" s="155" t="s">
        <v>1560</v>
      </c>
      <c r="B185" s="156" t="s">
        <v>67</v>
      </c>
      <c r="D185" s="156">
        <v>26.0</v>
      </c>
      <c r="E185" s="156" t="s">
        <v>1375</v>
      </c>
      <c r="G185" s="157"/>
    </row>
    <row r="186">
      <c r="A186" s="155" t="s">
        <v>1561</v>
      </c>
      <c r="B186" s="156" t="s">
        <v>106</v>
      </c>
      <c r="D186" s="156">
        <v>47.0</v>
      </c>
      <c r="E186" s="156" t="s">
        <v>1377</v>
      </c>
      <c r="G186" s="157"/>
    </row>
    <row r="187">
      <c r="A187" s="155" t="s">
        <v>1562</v>
      </c>
      <c r="B187" s="156" t="s">
        <v>106</v>
      </c>
      <c r="C187" s="156" t="s">
        <v>80</v>
      </c>
      <c r="D187" s="156">
        <v>33.0</v>
      </c>
      <c r="E187" s="156" t="s">
        <v>1375</v>
      </c>
      <c r="G187" s="157"/>
    </row>
    <row r="188">
      <c r="A188" s="155" t="s">
        <v>1563</v>
      </c>
      <c r="B188" s="156" t="s">
        <v>106</v>
      </c>
      <c r="D188" s="156">
        <v>28.0</v>
      </c>
      <c r="E188" s="156" t="s">
        <v>1375</v>
      </c>
      <c r="G188" s="157"/>
    </row>
    <row r="189">
      <c r="A189" s="155" t="s">
        <v>1564</v>
      </c>
      <c r="B189" s="156" t="s">
        <v>67</v>
      </c>
      <c r="C189" s="156" t="s">
        <v>80</v>
      </c>
      <c r="D189" s="156">
        <v>51.0</v>
      </c>
      <c r="E189" s="156" t="s">
        <v>1377</v>
      </c>
      <c r="G189" s="157"/>
    </row>
    <row r="190">
      <c r="A190" s="155" t="s">
        <v>1565</v>
      </c>
      <c r="B190" s="156" t="s">
        <v>106</v>
      </c>
      <c r="C190" s="156" t="s">
        <v>187</v>
      </c>
      <c r="D190" s="156">
        <v>52.0</v>
      </c>
      <c r="E190" s="156" t="s">
        <v>1377</v>
      </c>
      <c r="G190" s="157"/>
    </row>
    <row r="191">
      <c r="A191" s="155" t="s">
        <v>1566</v>
      </c>
      <c r="B191" s="156" t="s">
        <v>67</v>
      </c>
      <c r="D191" s="156">
        <v>42.0</v>
      </c>
      <c r="E191" s="156" t="s">
        <v>1377</v>
      </c>
      <c r="G191" s="157"/>
    </row>
    <row r="192">
      <c r="A192" s="155" t="s">
        <v>1567</v>
      </c>
      <c r="B192" s="156" t="s">
        <v>106</v>
      </c>
      <c r="C192" s="156" t="s">
        <v>80</v>
      </c>
      <c r="D192" s="156">
        <v>32.0</v>
      </c>
      <c r="E192" s="156" t="s">
        <v>1375</v>
      </c>
      <c r="G192" s="157"/>
    </row>
    <row r="193">
      <c r="A193" s="155" t="s">
        <v>1568</v>
      </c>
      <c r="B193" s="156" t="s">
        <v>67</v>
      </c>
      <c r="D193" s="156">
        <v>72.0</v>
      </c>
      <c r="E193" s="156" t="s">
        <v>1379</v>
      </c>
      <c r="G193" s="157"/>
    </row>
    <row r="194">
      <c r="A194" s="155" t="s">
        <v>1569</v>
      </c>
      <c r="B194" s="156" t="s">
        <v>106</v>
      </c>
      <c r="D194" s="156">
        <v>54.0</v>
      </c>
      <c r="E194" s="156" t="s">
        <v>1377</v>
      </c>
      <c r="G194" s="157"/>
    </row>
    <row r="195">
      <c r="A195" s="155" t="s">
        <v>1570</v>
      </c>
      <c r="B195" s="156" t="s">
        <v>106</v>
      </c>
      <c r="C195" s="156" t="s">
        <v>187</v>
      </c>
      <c r="D195" s="156">
        <v>48.0</v>
      </c>
      <c r="E195" s="156" t="s">
        <v>1377</v>
      </c>
      <c r="G195" s="157"/>
    </row>
    <row r="196">
      <c r="A196" s="155" t="s">
        <v>1571</v>
      </c>
      <c r="B196" s="156" t="s">
        <v>67</v>
      </c>
      <c r="D196" s="156">
        <v>29.0</v>
      </c>
      <c r="E196" s="156" t="s">
        <v>1375</v>
      </c>
      <c r="G196" s="157"/>
    </row>
    <row r="197">
      <c r="A197" s="155"/>
      <c r="G197" s="157"/>
    </row>
    <row r="198">
      <c r="A198" s="155"/>
      <c r="G198" s="157"/>
    </row>
    <row r="199">
      <c r="A199" s="155"/>
      <c r="G199" s="157"/>
    </row>
    <row r="200">
      <c r="A200" s="155"/>
      <c r="G200" s="157"/>
    </row>
    <row r="201">
      <c r="A201" s="155"/>
      <c r="G201" s="157"/>
    </row>
    <row r="202">
      <c r="A202" s="155"/>
      <c r="G202" s="157"/>
    </row>
    <row r="203">
      <c r="A203" s="155"/>
      <c r="G203" s="157"/>
    </row>
    <row r="204">
      <c r="A204" s="155"/>
      <c r="G204" s="157"/>
    </row>
    <row r="205">
      <c r="A205" s="155"/>
      <c r="G205" s="157"/>
    </row>
    <row r="206">
      <c r="A206" s="155"/>
      <c r="G206" s="157"/>
    </row>
    <row r="207">
      <c r="A207" s="155"/>
      <c r="G207" s="157"/>
    </row>
    <row r="208">
      <c r="A208" s="155"/>
      <c r="G208" s="157"/>
    </row>
    <row r="209">
      <c r="A209" s="155"/>
      <c r="G209" s="157"/>
    </row>
    <row r="210">
      <c r="A210" s="155"/>
      <c r="G210" s="157"/>
    </row>
    <row r="211">
      <c r="A211" s="155"/>
      <c r="G211" s="157"/>
    </row>
    <row r="212">
      <c r="A212" s="155"/>
      <c r="G212" s="157"/>
    </row>
    <row r="213">
      <c r="A213" s="155"/>
      <c r="G213" s="157"/>
    </row>
    <row r="214">
      <c r="A214" s="155"/>
      <c r="G214" s="157"/>
    </row>
    <row r="215">
      <c r="A215" s="155"/>
      <c r="G215" s="157"/>
    </row>
    <row r="216">
      <c r="A216" s="155"/>
      <c r="G216" s="157"/>
    </row>
    <row r="217">
      <c r="A217" s="155"/>
      <c r="G217" s="157"/>
    </row>
    <row r="218">
      <c r="A218" s="155"/>
      <c r="G218" s="157"/>
    </row>
    <row r="219">
      <c r="A219" s="155"/>
      <c r="G219" s="157"/>
    </row>
    <row r="220">
      <c r="A220" s="155"/>
      <c r="G220" s="157"/>
    </row>
    <row r="221">
      <c r="A221" s="155"/>
      <c r="G221" s="157"/>
    </row>
    <row r="222">
      <c r="A222" s="155"/>
      <c r="G222" s="157"/>
    </row>
    <row r="223">
      <c r="A223" s="155"/>
      <c r="G223" s="157"/>
    </row>
    <row r="224">
      <c r="A224" s="155"/>
      <c r="G224" s="157"/>
    </row>
    <row r="225">
      <c r="A225" s="155"/>
      <c r="G225" s="157"/>
    </row>
    <row r="226">
      <c r="A226" s="155"/>
      <c r="G226" s="157"/>
    </row>
    <row r="227">
      <c r="A227" s="155"/>
      <c r="G227" s="157"/>
    </row>
    <row r="228">
      <c r="A228" s="155"/>
      <c r="G228" s="157"/>
    </row>
    <row r="229">
      <c r="A229" s="155"/>
      <c r="G229" s="157"/>
    </row>
    <row r="230">
      <c r="A230" s="155"/>
      <c r="G230" s="157"/>
    </row>
    <row r="231">
      <c r="A231" s="155"/>
      <c r="G231" s="157"/>
    </row>
    <row r="232">
      <c r="A232" s="155"/>
      <c r="G232" s="157"/>
    </row>
    <row r="233">
      <c r="A233" s="155"/>
      <c r="G233" s="157"/>
    </row>
    <row r="234">
      <c r="A234" s="155"/>
      <c r="G234" s="157"/>
    </row>
    <row r="235">
      <c r="A235" s="155"/>
      <c r="G235" s="157"/>
    </row>
    <row r="236">
      <c r="A236" s="155"/>
      <c r="G236" s="157"/>
    </row>
    <row r="237">
      <c r="A237" s="155"/>
      <c r="G237" s="157"/>
    </row>
    <row r="238">
      <c r="A238" s="155"/>
      <c r="G238" s="157"/>
    </row>
    <row r="239">
      <c r="A239" s="155"/>
      <c r="G239" s="157"/>
    </row>
    <row r="240">
      <c r="A240" s="155"/>
      <c r="G240" s="157"/>
    </row>
    <row r="241">
      <c r="A241" s="155"/>
      <c r="G241" s="157"/>
    </row>
    <row r="242">
      <c r="A242" s="155"/>
      <c r="G242" s="157"/>
    </row>
    <row r="243">
      <c r="A243" s="155"/>
      <c r="G243" s="157"/>
    </row>
    <row r="244">
      <c r="A244" s="155"/>
      <c r="G244" s="157"/>
    </row>
    <row r="245">
      <c r="A245" s="155"/>
      <c r="G245" s="157"/>
    </row>
    <row r="246">
      <c r="A246" s="155"/>
      <c r="G246" s="157"/>
    </row>
    <row r="247">
      <c r="A247" s="155"/>
      <c r="G247" s="157"/>
    </row>
    <row r="248">
      <c r="A248" s="155"/>
      <c r="G248" s="157"/>
    </row>
    <row r="249">
      <c r="A249" s="155"/>
      <c r="G249" s="157"/>
    </row>
    <row r="250">
      <c r="A250" s="155"/>
      <c r="G250" s="157"/>
    </row>
    <row r="251">
      <c r="A251" s="155"/>
      <c r="G251" s="157"/>
    </row>
    <row r="252">
      <c r="A252" s="155"/>
      <c r="G252" s="157"/>
    </row>
    <row r="253">
      <c r="A253" s="155"/>
      <c r="G253" s="157"/>
    </row>
    <row r="254">
      <c r="A254" s="155"/>
      <c r="G254" s="157"/>
    </row>
    <row r="255">
      <c r="A255" s="155"/>
      <c r="G255" s="157"/>
    </row>
    <row r="256">
      <c r="A256" s="155"/>
      <c r="G256" s="157"/>
    </row>
    <row r="257">
      <c r="A257" s="155"/>
      <c r="G257" s="157"/>
    </row>
    <row r="258">
      <c r="A258" s="155"/>
      <c r="G258" s="157"/>
    </row>
    <row r="259">
      <c r="A259" s="155"/>
      <c r="G259" s="157"/>
    </row>
    <row r="260">
      <c r="A260" s="155"/>
      <c r="G260" s="157"/>
    </row>
    <row r="261">
      <c r="A261" s="155"/>
      <c r="G261" s="157"/>
    </row>
    <row r="262">
      <c r="A262" s="155"/>
      <c r="G262" s="157"/>
    </row>
    <row r="263">
      <c r="A263" s="155"/>
      <c r="G263" s="157"/>
    </row>
    <row r="264">
      <c r="A264" s="155"/>
      <c r="G264" s="157"/>
    </row>
    <row r="265">
      <c r="A265" s="155"/>
      <c r="G265" s="157"/>
    </row>
    <row r="266">
      <c r="A266" s="155"/>
      <c r="G266" s="157"/>
    </row>
    <row r="267">
      <c r="A267" s="155"/>
      <c r="G267" s="157"/>
    </row>
    <row r="268">
      <c r="A268" s="155"/>
      <c r="G268" s="157"/>
    </row>
    <row r="269">
      <c r="A269" s="155"/>
      <c r="G269" s="157"/>
    </row>
    <row r="270">
      <c r="A270" s="155"/>
      <c r="G270" s="157"/>
    </row>
    <row r="271">
      <c r="A271" s="155"/>
      <c r="G271" s="157"/>
    </row>
    <row r="272">
      <c r="A272" s="155"/>
      <c r="G272" s="157"/>
    </row>
    <row r="273">
      <c r="A273" s="155"/>
      <c r="G273" s="157"/>
    </row>
    <row r="274">
      <c r="A274" s="155"/>
      <c r="G274" s="157"/>
    </row>
    <row r="275">
      <c r="A275" s="155"/>
      <c r="G275" s="157"/>
    </row>
    <row r="276">
      <c r="A276" s="155"/>
      <c r="G276" s="157"/>
    </row>
    <row r="277">
      <c r="A277" s="155"/>
      <c r="G277" s="157"/>
    </row>
    <row r="278">
      <c r="A278" s="155"/>
      <c r="G278" s="157"/>
    </row>
    <row r="279">
      <c r="A279" s="155"/>
      <c r="G279" s="157"/>
    </row>
    <row r="280">
      <c r="A280" s="155"/>
      <c r="G280" s="157"/>
    </row>
    <row r="281">
      <c r="A281" s="155"/>
      <c r="G281" s="157"/>
    </row>
    <row r="282">
      <c r="A282" s="155"/>
      <c r="G282" s="157"/>
    </row>
    <row r="283">
      <c r="A283" s="155"/>
      <c r="G283" s="157"/>
    </row>
    <row r="284">
      <c r="A284" s="155"/>
      <c r="G284" s="157"/>
    </row>
    <row r="285">
      <c r="A285" s="155"/>
      <c r="G285" s="157"/>
    </row>
    <row r="286">
      <c r="A286" s="155"/>
      <c r="G286" s="157"/>
    </row>
    <row r="287">
      <c r="A287" s="155"/>
      <c r="G287" s="157"/>
    </row>
    <row r="288">
      <c r="A288" s="155"/>
      <c r="G288" s="157"/>
    </row>
    <row r="289">
      <c r="A289" s="155"/>
      <c r="G289" s="157"/>
    </row>
    <row r="290">
      <c r="A290" s="155"/>
      <c r="G290" s="157"/>
    </row>
    <row r="291">
      <c r="A291" s="155"/>
      <c r="G291" s="157"/>
    </row>
    <row r="292">
      <c r="A292" s="155"/>
      <c r="G292" s="157"/>
    </row>
    <row r="293">
      <c r="A293" s="155"/>
      <c r="G293" s="157"/>
    </row>
    <row r="294">
      <c r="A294" s="155"/>
      <c r="G294" s="157"/>
    </row>
    <row r="295">
      <c r="A295" s="155"/>
      <c r="G295" s="157"/>
    </row>
    <row r="296">
      <c r="A296" s="155"/>
      <c r="G296" s="157"/>
    </row>
    <row r="297">
      <c r="A297" s="155"/>
      <c r="G297" s="157"/>
    </row>
    <row r="298">
      <c r="A298" s="155"/>
      <c r="G298" s="157"/>
    </row>
    <row r="299">
      <c r="A299" s="155"/>
      <c r="G299" s="157"/>
    </row>
    <row r="300">
      <c r="A300" s="155"/>
      <c r="G300" s="157"/>
    </row>
    <row r="301">
      <c r="A301" s="155"/>
      <c r="G301" s="157"/>
    </row>
    <row r="302">
      <c r="A302" s="155"/>
      <c r="G302" s="157"/>
    </row>
    <row r="303">
      <c r="A303" s="155"/>
      <c r="G303" s="157"/>
    </row>
    <row r="304">
      <c r="A304" s="155"/>
      <c r="G304" s="157"/>
    </row>
    <row r="305">
      <c r="A305" s="155"/>
      <c r="G305" s="157"/>
    </row>
    <row r="306">
      <c r="A306" s="155"/>
      <c r="G306" s="157"/>
    </row>
    <row r="307">
      <c r="A307" s="155"/>
      <c r="G307" s="157"/>
    </row>
    <row r="308">
      <c r="A308" s="155"/>
      <c r="G308" s="157"/>
    </row>
    <row r="309">
      <c r="A309" s="155"/>
      <c r="G309" s="157"/>
    </row>
    <row r="310">
      <c r="A310" s="155"/>
      <c r="G310" s="157"/>
    </row>
    <row r="311">
      <c r="A311" s="155"/>
      <c r="G311" s="157"/>
    </row>
    <row r="312">
      <c r="A312" s="155"/>
      <c r="G312" s="157"/>
    </row>
    <row r="313">
      <c r="A313" s="155"/>
      <c r="G313" s="157"/>
    </row>
    <row r="314">
      <c r="A314" s="155"/>
      <c r="G314" s="157"/>
    </row>
    <row r="315">
      <c r="A315" s="155"/>
      <c r="G315" s="157"/>
    </row>
    <row r="316">
      <c r="A316" s="155"/>
      <c r="G316" s="157"/>
    </row>
    <row r="317">
      <c r="A317" s="155"/>
      <c r="G317" s="157"/>
    </row>
    <row r="318">
      <c r="A318" s="155"/>
      <c r="G318" s="157"/>
    </row>
    <row r="319">
      <c r="A319" s="155"/>
      <c r="G319" s="157"/>
    </row>
    <row r="320">
      <c r="A320" s="155"/>
      <c r="G320" s="157"/>
    </row>
    <row r="321">
      <c r="A321" s="155"/>
      <c r="G321" s="157"/>
    </row>
    <row r="322">
      <c r="A322" s="155"/>
      <c r="G322" s="157"/>
    </row>
    <row r="323">
      <c r="A323" s="155"/>
      <c r="G323" s="157"/>
    </row>
    <row r="324">
      <c r="A324" s="155"/>
      <c r="G324" s="157"/>
    </row>
    <row r="325">
      <c r="A325" s="155"/>
      <c r="G325" s="157"/>
    </row>
    <row r="326">
      <c r="A326" s="155"/>
      <c r="G326" s="157"/>
    </row>
    <row r="327">
      <c r="A327" s="155"/>
      <c r="G327" s="157"/>
    </row>
    <row r="328">
      <c r="A328" s="155"/>
      <c r="G328" s="157"/>
    </row>
    <row r="329">
      <c r="A329" s="155"/>
      <c r="G329" s="157"/>
    </row>
    <row r="330">
      <c r="A330" s="155"/>
      <c r="G330" s="157"/>
    </row>
    <row r="331">
      <c r="A331" s="155"/>
      <c r="G331" s="157"/>
    </row>
    <row r="332">
      <c r="A332" s="155"/>
      <c r="G332" s="157"/>
    </row>
    <row r="333">
      <c r="A333" s="155"/>
      <c r="G333" s="157"/>
    </row>
    <row r="334">
      <c r="A334" s="155"/>
      <c r="G334" s="157"/>
    </row>
    <row r="335">
      <c r="A335" s="155"/>
      <c r="G335" s="157"/>
    </row>
    <row r="336">
      <c r="A336" s="155"/>
      <c r="G336" s="157"/>
    </row>
    <row r="337">
      <c r="A337" s="155"/>
      <c r="G337" s="157"/>
    </row>
    <row r="338">
      <c r="A338" s="155"/>
      <c r="G338" s="157"/>
    </row>
    <row r="339">
      <c r="A339" s="155"/>
      <c r="G339" s="157"/>
    </row>
    <row r="340">
      <c r="A340" s="155"/>
      <c r="G340" s="157"/>
    </row>
    <row r="341">
      <c r="A341" s="155"/>
      <c r="G341" s="157"/>
    </row>
    <row r="342">
      <c r="A342" s="155"/>
      <c r="G342" s="157"/>
    </row>
    <row r="343">
      <c r="A343" s="155"/>
      <c r="G343" s="157"/>
    </row>
    <row r="344">
      <c r="A344" s="155"/>
      <c r="G344" s="157"/>
    </row>
    <row r="345">
      <c r="A345" s="155"/>
      <c r="G345" s="157"/>
    </row>
    <row r="346">
      <c r="A346" s="155"/>
      <c r="G346" s="157"/>
    </row>
    <row r="347">
      <c r="A347" s="155"/>
      <c r="G347" s="157"/>
    </row>
    <row r="348">
      <c r="A348" s="155"/>
      <c r="G348" s="157"/>
    </row>
    <row r="349">
      <c r="A349" s="155"/>
      <c r="G349" s="157"/>
    </row>
    <row r="350">
      <c r="A350" s="155"/>
      <c r="G350" s="157"/>
    </row>
    <row r="351">
      <c r="A351" s="155"/>
      <c r="G351" s="157"/>
    </row>
    <row r="352">
      <c r="A352" s="155"/>
      <c r="G352" s="157"/>
    </row>
    <row r="353">
      <c r="A353" s="155"/>
      <c r="G353" s="157"/>
    </row>
    <row r="354">
      <c r="A354" s="155"/>
      <c r="G354" s="157"/>
    </row>
    <row r="355">
      <c r="A355" s="155"/>
      <c r="G355" s="157"/>
    </row>
    <row r="356">
      <c r="A356" s="155"/>
      <c r="G356" s="157"/>
    </row>
    <row r="357">
      <c r="A357" s="155"/>
      <c r="G357" s="157"/>
    </row>
    <row r="358">
      <c r="A358" s="155"/>
      <c r="G358" s="157"/>
    </row>
    <row r="359">
      <c r="A359" s="155"/>
      <c r="G359" s="157"/>
    </row>
    <row r="360">
      <c r="A360" s="155"/>
      <c r="G360" s="157"/>
    </row>
    <row r="361">
      <c r="A361" s="155"/>
      <c r="G361" s="157"/>
    </row>
    <row r="362">
      <c r="A362" s="155"/>
      <c r="G362" s="157"/>
    </row>
    <row r="363">
      <c r="A363" s="155"/>
      <c r="G363" s="157"/>
    </row>
    <row r="364">
      <c r="A364" s="155"/>
      <c r="G364" s="157"/>
    </row>
    <row r="365">
      <c r="A365" s="155"/>
      <c r="G365" s="157"/>
    </row>
    <row r="366">
      <c r="A366" s="155"/>
      <c r="G366" s="157"/>
    </row>
    <row r="367">
      <c r="A367" s="155"/>
      <c r="G367" s="157"/>
    </row>
    <row r="368">
      <c r="A368" s="155"/>
      <c r="G368" s="157"/>
    </row>
    <row r="369">
      <c r="A369" s="155"/>
      <c r="G369" s="157"/>
    </row>
    <row r="370">
      <c r="A370" s="155"/>
      <c r="G370" s="157"/>
    </row>
    <row r="371">
      <c r="A371" s="155"/>
      <c r="G371" s="157"/>
    </row>
    <row r="372">
      <c r="A372" s="155"/>
      <c r="G372" s="157"/>
    </row>
    <row r="373">
      <c r="A373" s="155"/>
      <c r="G373" s="157"/>
    </row>
    <row r="374">
      <c r="A374" s="155"/>
      <c r="G374" s="157"/>
    </row>
    <row r="375">
      <c r="A375" s="155"/>
      <c r="G375" s="157"/>
    </row>
    <row r="376">
      <c r="A376" s="155"/>
      <c r="G376" s="157"/>
    </row>
    <row r="377">
      <c r="A377" s="155"/>
      <c r="G377" s="157"/>
    </row>
    <row r="378">
      <c r="A378" s="155"/>
      <c r="G378" s="157"/>
    </row>
    <row r="379">
      <c r="A379" s="155"/>
      <c r="G379" s="157"/>
    </row>
    <row r="380">
      <c r="A380" s="155"/>
      <c r="G380" s="157"/>
    </row>
    <row r="381">
      <c r="A381" s="155"/>
      <c r="G381" s="157"/>
    </row>
    <row r="382">
      <c r="A382" s="155"/>
      <c r="G382" s="157"/>
    </row>
    <row r="383">
      <c r="A383" s="155"/>
      <c r="G383" s="157"/>
    </row>
    <row r="384">
      <c r="A384" s="155"/>
      <c r="G384" s="157"/>
    </row>
    <row r="385">
      <c r="A385" s="155"/>
      <c r="G385" s="157"/>
    </row>
    <row r="386">
      <c r="A386" s="155"/>
      <c r="G386" s="157"/>
    </row>
    <row r="387">
      <c r="A387" s="155"/>
      <c r="G387" s="157"/>
    </row>
    <row r="388">
      <c r="A388" s="155"/>
      <c r="G388" s="157"/>
    </row>
    <row r="389">
      <c r="A389" s="155"/>
      <c r="G389" s="157"/>
    </row>
    <row r="390">
      <c r="A390" s="155"/>
      <c r="G390" s="157"/>
    </row>
    <row r="391">
      <c r="A391" s="155"/>
      <c r="G391" s="157"/>
    </row>
    <row r="392">
      <c r="A392" s="155"/>
      <c r="G392" s="157"/>
    </row>
    <row r="393">
      <c r="A393" s="155"/>
      <c r="G393" s="157"/>
    </row>
    <row r="394">
      <c r="A394" s="155"/>
      <c r="G394" s="157"/>
    </row>
    <row r="395">
      <c r="A395" s="155"/>
      <c r="G395" s="157"/>
    </row>
    <row r="396">
      <c r="A396" s="155"/>
      <c r="G396" s="157"/>
    </row>
    <row r="397">
      <c r="A397" s="155"/>
      <c r="G397" s="157"/>
    </row>
    <row r="398">
      <c r="A398" s="155"/>
      <c r="G398" s="157"/>
    </row>
    <row r="399">
      <c r="A399" s="155"/>
      <c r="G399" s="157"/>
    </row>
    <row r="400">
      <c r="A400" s="155"/>
      <c r="G400" s="157"/>
    </row>
    <row r="401">
      <c r="A401" s="155"/>
      <c r="G401" s="157"/>
    </row>
    <row r="402">
      <c r="A402" s="155"/>
      <c r="G402" s="157"/>
    </row>
    <row r="403">
      <c r="A403" s="155"/>
      <c r="G403" s="157"/>
    </row>
    <row r="404">
      <c r="A404" s="155"/>
      <c r="G404" s="157"/>
    </row>
    <row r="405">
      <c r="A405" s="155"/>
      <c r="G405" s="157"/>
    </row>
    <row r="406">
      <c r="A406" s="155"/>
      <c r="G406" s="157"/>
    </row>
    <row r="407">
      <c r="A407" s="155"/>
      <c r="G407" s="157"/>
    </row>
    <row r="408">
      <c r="A408" s="155"/>
      <c r="G408" s="157"/>
    </row>
    <row r="409">
      <c r="A409" s="155"/>
      <c r="G409" s="157"/>
    </row>
    <row r="410">
      <c r="A410" s="155"/>
      <c r="G410" s="157"/>
    </row>
    <row r="411">
      <c r="A411" s="155"/>
      <c r="G411" s="157"/>
    </row>
    <row r="412">
      <c r="A412" s="155"/>
      <c r="G412" s="157"/>
    </row>
    <row r="413">
      <c r="A413" s="155"/>
      <c r="G413" s="157"/>
    </row>
    <row r="414">
      <c r="A414" s="155"/>
      <c r="G414" s="157"/>
    </row>
    <row r="415">
      <c r="A415" s="155"/>
      <c r="G415" s="157"/>
    </row>
    <row r="416">
      <c r="A416" s="155"/>
      <c r="G416" s="157"/>
    </row>
    <row r="417">
      <c r="A417" s="155"/>
      <c r="G417" s="157"/>
    </row>
    <row r="418">
      <c r="A418" s="155"/>
      <c r="G418" s="157"/>
    </row>
    <row r="419">
      <c r="A419" s="155"/>
      <c r="G419" s="157"/>
    </row>
    <row r="420">
      <c r="A420" s="155"/>
      <c r="G420" s="157"/>
    </row>
    <row r="421">
      <c r="A421" s="155"/>
      <c r="G421" s="157"/>
    </row>
    <row r="422">
      <c r="A422" s="155"/>
      <c r="G422" s="157"/>
    </row>
    <row r="423">
      <c r="A423" s="155"/>
      <c r="G423" s="157"/>
    </row>
    <row r="424">
      <c r="A424" s="155"/>
      <c r="G424" s="157"/>
    </row>
    <row r="425">
      <c r="A425" s="155"/>
      <c r="G425" s="157"/>
    </row>
    <row r="426">
      <c r="A426" s="155"/>
      <c r="G426" s="157"/>
    </row>
    <row r="427">
      <c r="A427" s="155"/>
      <c r="G427" s="157"/>
    </row>
    <row r="428">
      <c r="A428" s="155"/>
      <c r="G428" s="157"/>
    </row>
    <row r="429">
      <c r="A429" s="155"/>
      <c r="G429" s="157"/>
    </row>
    <row r="430">
      <c r="A430" s="155"/>
      <c r="G430" s="157"/>
    </row>
    <row r="431">
      <c r="A431" s="155"/>
      <c r="G431" s="157"/>
    </row>
    <row r="432">
      <c r="A432" s="155"/>
      <c r="G432" s="157"/>
    </row>
    <row r="433">
      <c r="A433" s="155"/>
      <c r="G433" s="157"/>
    </row>
    <row r="434">
      <c r="A434" s="155"/>
      <c r="G434" s="157"/>
    </row>
    <row r="435">
      <c r="A435" s="155"/>
      <c r="G435" s="157"/>
    </row>
    <row r="436">
      <c r="A436" s="155"/>
      <c r="G436" s="157"/>
    </row>
    <row r="437">
      <c r="A437" s="155"/>
      <c r="G437" s="157"/>
    </row>
    <row r="438">
      <c r="A438" s="155"/>
      <c r="G438" s="157"/>
    </row>
    <row r="439">
      <c r="A439" s="155"/>
      <c r="G439" s="157"/>
    </row>
    <row r="440">
      <c r="A440" s="155"/>
      <c r="G440" s="157"/>
    </row>
    <row r="441">
      <c r="A441" s="155"/>
      <c r="G441" s="157"/>
    </row>
    <row r="442">
      <c r="A442" s="155"/>
      <c r="G442" s="157"/>
    </row>
    <row r="443">
      <c r="A443" s="155"/>
      <c r="G443" s="157"/>
    </row>
    <row r="444">
      <c r="A444" s="155"/>
      <c r="G444" s="157"/>
    </row>
    <row r="445">
      <c r="A445" s="155"/>
      <c r="G445" s="157"/>
    </row>
    <row r="446">
      <c r="A446" s="155"/>
      <c r="G446" s="157"/>
    </row>
    <row r="447">
      <c r="A447" s="155"/>
      <c r="G447" s="157"/>
    </row>
    <row r="448">
      <c r="A448" s="155"/>
      <c r="G448" s="157"/>
    </row>
    <row r="449">
      <c r="A449" s="155"/>
      <c r="G449" s="157"/>
    </row>
    <row r="450">
      <c r="A450" s="155"/>
      <c r="G450" s="157"/>
    </row>
    <row r="451">
      <c r="A451" s="155"/>
      <c r="G451" s="157"/>
    </row>
    <row r="452">
      <c r="A452" s="155"/>
      <c r="G452" s="157"/>
    </row>
    <row r="453">
      <c r="A453" s="155"/>
      <c r="G453" s="157"/>
    </row>
    <row r="454">
      <c r="A454" s="155"/>
      <c r="G454" s="157"/>
    </row>
    <row r="455">
      <c r="A455" s="155"/>
      <c r="G455" s="157"/>
    </row>
    <row r="456">
      <c r="A456" s="155"/>
      <c r="G456" s="157"/>
    </row>
    <row r="457">
      <c r="A457" s="155"/>
      <c r="G457" s="157"/>
    </row>
    <row r="458">
      <c r="A458" s="155"/>
      <c r="G458" s="157"/>
    </row>
    <row r="459">
      <c r="A459" s="155"/>
      <c r="G459" s="157"/>
    </row>
    <row r="460">
      <c r="A460" s="155"/>
      <c r="G460" s="157"/>
    </row>
    <row r="461">
      <c r="A461" s="155"/>
      <c r="G461" s="157"/>
    </row>
    <row r="462">
      <c r="A462" s="155"/>
      <c r="G462" s="157"/>
    </row>
    <row r="463">
      <c r="A463" s="155"/>
      <c r="G463" s="157"/>
    </row>
    <row r="464">
      <c r="A464" s="155"/>
      <c r="G464" s="157"/>
    </row>
    <row r="465">
      <c r="A465" s="155"/>
      <c r="G465" s="157"/>
    </row>
    <row r="466">
      <c r="A466" s="155"/>
      <c r="G466" s="157"/>
    </row>
    <row r="467">
      <c r="A467" s="155"/>
      <c r="G467" s="157"/>
    </row>
    <row r="468">
      <c r="A468" s="155"/>
      <c r="G468" s="157"/>
    </row>
    <row r="469">
      <c r="A469" s="155"/>
      <c r="G469" s="157"/>
    </row>
    <row r="470">
      <c r="A470" s="155"/>
      <c r="G470" s="157"/>
    </row>
    <row r="471">
      <c r="A471" s="155"/>
      <c r="G471" s="157"/>
    </row>
    <row r="472">
      <c r="A472" s="155"/>
      <c r="G472" s="157"/>
    </row>
    <row r="473">
      <c r="A473" s="155"/>
      <c r="G473" s="157"/>
    </row>
    <row r="474">
      <c r="A474" s="155"/>
      <c r="G474" s="157"/>
    </row>
    <row r="475">
      <c r="A475" s="155"/>
      <c r="G475" s="157"/>
    </row>
    <row r="476">
      <c r="A476" s="155"/>
      <c r="G476" s="157"/>
    </row>
    <row r="477">
      <c r="A477" s="155"/>
      <c r="G477" s="157"/>
    </row>
    <row r="478">
      <c r="A478" s="155"/>
      <c r="G478" s="157"/>
    </row>
    <row r="479">
      <c r="A479" s="155"/>
      <c r="G479" s="157"/>
    </row>
    <row r="480">
      <c r="A480" s="155"/>
      <c r="G480" s="157"/>
    </row>
    <row r="481">
      <c r="A481" s="155"/>
      <c r="G481" s="157"/>
    </row>
    <row r="482">
      <c r="A482" s="155"/>
      <c r="G482" s="157"/>
    </row>
    <row r="483">
      <c r="A483" s="155"/>
      <c r="G483" s="157"/>
    </row>
    <row r="484">
      <c r="A484" s="155"/>
      <c r="G484" s="157"/>
    </row>
    <row r="485">
      <c r="A485" s="155"/>
      <c r="G485" s="157"/>
    </row>
    <row r="486">
      <c r="A486" s="155"/>
      <c r="G486" s="157"/>
    </row>
    <row r="487">
      <c r="A487" s="155"/>
      <c r="G487" s="157"/>
    </row>
    <row r="488">
      <c r="A488" s="155"/>
      <c r="G488" s="157"/>
    </row>
    <row r="489">
      <c r="A489" s="155"/>
      <c r="G489" s="157"/>
    </row>
    <row r="490">
      <c r="A490" s="155"/>
      <c r="G490" s="157"/>
    </row>
    <row r="491">
      <c r="A491" s="155"/>
      <c r="G491" s="157"/>
    </row>
    <row r="492">
      <c r="A492" s="155"/>
      <c r="G492" s="157"/>
    </row>
    <row r="493">
      <c r="A493" s="155"/>
      <c r="G493" s="157"/>
    </row>
    <row r="494">
      <c r="A494" s="155"/>
      <c r="G494" s="157"/>
    </row>
    <row r="495">
      <c r="A495" s="155"/>
      <c r="G495" s="157"/>
    </row>
    <row r="496">
      <c r="A496" s="155"/>
      <c r="G496" s="157"/>
    </row>
    <row r="497">
      <c r="A497" s="155"/>
      <c r="G497" s="157"/>
    </row>
    <row r="498">
      <c r="A498" s="155"/>
      <c r="G498" s="157"/>
    </row>
    <row r="499">
      <c r="A499" s="155"/>
      <c r="G499" s="157"/>
    </row>
    <row r="500">
      <c r="A500" s="155"/>
      <c r="G500" s="157"/>
    </row>
    <row r="501">
      <c r="A501" s="155"/>
      <c r="G501" s="157"/>
    </row>
    <row r="502">
      <c r="A502" s="155"/>
      <c r="G502" s="157"/>
    </row>
    <row r="503">
      <c r="A503" s="155"/>
      <c r="G503" s="157"/>
    </row>
    <row r="504">
      <c r="A504" s="155"/>
      <c r="G504" s="157"/>
    </row>
    <row r="505">
      <c r="A505" s="155"/>
      <c r="G505" s="157"/>
    </row>
    <row r="506">
      <c r="A506" s="155"/>
      <c r="G506" s="157"/>
    </row>
    <row r="507">
      <c r="A507" s="155"/>
      <c r="G507" s="157"/>
    </row>
    <row r="508">
      <c r="A508" s="155"/>
      <c r="G508" s="157"/>
    </row>
    <row r="509">
      <c r="A509" s="155"/>
      <c r="G509" s="157"/>
    </row>
    <row r="510">
      <c r="A510" s="155"/>
      <c r="G510" s="157"/>
    </row>
    <row r="511">
      <c r="A511" s="155"/>
      <c r="G511" s="157"/>
    </row>
    <row r="512">
      <c r="A512" s="155"/>
      <c r="G512" s="157"/>
    </row>
    <row r="513">
      <c r="A513" s="155"/>
      <c r="G513" s="157"/>
    </row>
    <row r="514">
      <c r="A514" s="155"/>
      <c r="G514" s="157"/>
    </row>
    <row r="515">
      <c r="A515" s="155"/>
      <c r="G515" s="157"/>
    </row>
    <row r="516">
      <c r="A516" s="155"/>
      <c r="G516" s="157"/>
    </row>
    <row r="517">
      <c r="A517" s="155"/>
      <c r="G517" s="157"/>
    </row>
    <row r="518">
      <c r="A518" s="155"/>
      <c r="G518" s="157"/>
    </row>
    <row r="519">
      <c r="A519" s="155"/>
      <c r="G519" s="157"/>
    </row>
    <row r="520">
      <c r="A520" s="155"/>
      <c r="G520" s="157"/>
    </row>
    <row r="521">
      <c r="A521" s="155"/>
      <c r="G521" s="157"/>
    </row>
    <row r="522">
      <c r="A522" s="155"/>
      <c r="G522" s="157"/>
    </row>
    <row r="523">
      <c r="A523" s="155"/>
      <c r="G523" s="157"/>
    </row>
    <row r="524">
      <c r="A524" s="155"/>
      <c r="G524" s="157"/>
    </row>
    <row r="525">
      <c r="A525" s="155"/>
      <c r="G525" s="157"/>
    </row>
    <row r="526">
      <c r="A526" s="155"/>
      <c r="G526" s="157"/>
    </row>
    <row r="527">
      <c r="A527" s="155"/>
      <c r="G527" s="157"/>
    </row>
    <row r="528">
      <c r="A528" s="155"/>
      <c r="G528" s="157"/>
    </row>
    <row r="529">
      <c r="A529" s="155"/>
      <c r="G529" s="157"/>
    </row>
    <row r="530">
      <c r="A530" s="155"/>
      <c r="G530" s="157"/>
    </row>
    <row r="531">
      <c r="A531" s="155"/>
      <c r="G531" s="157"/>
    </row>
    <row r="532">
      <c r="A532" s="155"/>
      <c r="G532" s="157"/>
    </row>
    <row r="533">
      <c r="A533" s="155"/>
      <c r="G533" s="157"/>
    </row>
    <row r="534">
      <c r="A534" s="155"/>
      <c r="G534" s="157"/>
    </row>
    <row r="535">
      <c r="A535" s="155"/>
      <c r="G535" s="157"/>
    </row>
    <row r="536">
      <c r="A536" s="155"/>
      <c r="G536" s="157"/>
    </row>
    <row r="537">
      <c r="A537" s="155"/>
      <c r="G537" s="157"/>
    </row>
    <row r="538">
      <c r="A538" s="155"/>
      <c r="G538" s="157"/>
    </row>
    <row r="539">
      <c r="A539" s="155"/>
      <c r="G539" s="157"/>
    </row>
    <row r="540">
      <c r="A540" s="155"/>
      <c r="G540" s="157"/>
    </row>
    <row r="541">
      <c r="A541" s="155"/>
      <c r="G541" s="157"/>
    </row>
    <row r="542">
      <c r="A542" s="155"/>
      <c r="G542" s="157"/>
    </row>
    <row r="543">
      <c r="A543" s="155"/>
      <c r="G543" s="157"/>
    </row>
    <row r="544">
      <c r="A544" s="155"/>
      <c r="G544" s="157"/>
    </row>
    <row r="545">
      <c r="A545" s="155"/>
      <c r="G545" s="157"/>
    </row>
    <row r="546">
      <c r="A546" s="155"/>
      <c r="G546" s="157"/>
    </row>
    <row r="547">
      <c r="A547" s="155"/>
      <c r="G547" s="157"/>
    </row>
    <row r="548">
      <c r="A548" s="155"/>
      <c r="G548" s="157"/>
    </row>
    <row r="549">
      <c r="A549" s="155"/>
      <c r="G549" s="157"/>
    </row>
    <row r="550">
      <c r="A550" s="155"/>
      <c r="G550" s="157"/>
    </row>
    <row r="551">
      <c r="A551" s="155"/>
      <c r="G551" s="157"/>
    </row>
    <row r="552">
      <c r="A552" s="155"/>
      <c r="G552" s="157"/>
    </row>
    <row r="553">
      <c r="A553" s="155"/>
      <c r="G553" s="157"/>
    </row>
    <row r="554">
      <c r="A554" s="155"/>
      <c r="G554" s="157"/>
    </row>
    <row r="555">
      <c r="A555" s="155"/>
      <c r="G555" s="157"/>
    </row>
    <row r="556">
      <c r="A556" s="155"/>
      <c r="G556" s="157"/>
    </row>
    <row r="557">
      <c r="A557" s="155"/>
      <c r="G557" s="157"/>
    </row>
    <row r="558">
      <c r="A558" s="155"/>
      <c r="G558" s="157"/>
    </row>
    <row r="559">
      <c r="A559" s="155"/>
      <c r="G559" s="157"/>
    </row>
    <row r="560">
      <c r="A560" s="155"/>
      <c r="G560" s="157"/>
    </row>
    <row r="561">
      <c r="A561" s="155"/>
      <c r="G561" s="157"/>
    </row>
    <row r="562">
      <c r="A562" s="155"/>
      <c r="G562" s="157"/>
    </row>
    <row r="563">
      <c r="A563" s="155"/>
      <c r="G563" s="157"/>
    </row>
    <row r="564">
      <c r="A564" s="155"/>
      <c r="G564" s="157"/>
    </row>
    <row r="565">
      <c r="A565" s="155"/>
      <c r="G565" s="157"/>
    </row>
    <row r="566">
      <c r="A566" s="155"/>
      <c r="G566" s="157"/>
    </row>
    <row r="567">
      <c r="A567" s="155"/>
      <c r="G567" s="157"/>
    </row>
    <row r="568">
      <c r="A568" s="155"/>
      <c r="G568" s="157"/>
    </row>
    <row r="569">
      <c r="A569" s="155"/>
      <c r="G569" s="157"/>
    </row>
    <row r="570">
      <c r="A570" s="155"/>
      <c r="G570" s="157"/>
    </row>
    <row r="571">
      <c r="A571" s="155"/>
      <c r="G571" s="157"/>
    </row>
    <row r="572">
      <c r="A572" s="155"/>
      <c r="G572" s="157"/>
    </row>
    <row r="573">
      <c r="A573" s="155"/>
      <c r="G573" s="157"/>
    </row>
    <row r="574">
      <c r="A574" s="155"/>
      <c r="G574" s="157"/>
    </row>
    <row r="575">
      <c r="A575" s="155"/>
      <c r="G575" s="157"/>
    </row>
    <row r="576">
      <c r="A576" s="155"/>
      <c r="G576" s="157"/>
    </row>
    <row r="577">
      <c r="A577" s="155"/>
      <c r="G577" s="157"/>
    </row>
    <row r="578">
      <c r="A578" s="155"/>
      <c r="G578" s="157"/>
    </row>
    <row r="579">
      <c r="A579" s="155"/>
      <c r="G579" s="157"/>
    </row>
    <row r="580">
      <c r="A580" s="155"/>
      <c r="G580" s="157"/>
    </row>
    <row r="581">
      <c r="A581" s="155"/>
      <c r="G581" s="157"/>
    </row>
    <row r="582">
      <c r="A582" s="155"/>
      <c r="G582" s="157"/>
    </row>
    <row r="583">
      <c r="A583" s="155"/>
      <c r="G583" s="157"/>
    </row>
    <row r="584">
      <c r="A584" s="155"/>
      <c r="G584" s="157"/>
    </row>
    <row r="585">
      <c r="A585" s="155"/>
      <c r="G585" s="157"/>
    </row>
    <row r="586">
      <c r="A586" s="155"/>
      <c r="G586" s="157"/>
    </row>
    <row r="587">
      <c r="A587" s="155"/>
      <c r="G587" s="157"/>
    </row>
    <row r="588">
      <c r="A588" s="155"/>
      <c r="G588" s="157"/>
    </row>
    <row r="589">
      <c r="A589" s="155"/>
      <c r="G589" s="157"/>
    </row>
    <row r="590">
      <c r="A590" s="155"/>
      <c r="G590" s="157"/>
    </row>
    <row r="591">
      <c r="A591" s="155"/>
      <c r="G591" s="157"/>
    </row>
    <row r="592">
      <c r="A592" s="155"/>
      <c r="G592" s="157"/>
    </row>
    <row r="593">
      <c r="A593" s="155"/>
      <c r="G593" s="157"/>
    </row>
    <row r="594">
      <c r="A594" s="155"/>
      <c r="G594" s="157"/>
    </row>
    <row r="595">
      <c r="A595" s="155"/>
      <c r="G595" s="157"/>
    </row>
    <row r="596">
      <c r="A596" s="155"/>
      <c r="G596" s="157"/>
    </row>
    <row r="597">
      <c r="A597" s="155"/>
      <c r="G597" s="157"/>
    </row>
    <row r="598">
      <c r="A598" s="155"/>
      <c r="G598" s="157"/>
    </row>
    <row r="599">
      <c r="A599" s="155"/>
      <c r="G599" s="157"/>
    </row>
    <row r="600">
      <c r="A600" s="155"/>
      <c r="G600" s="157"/>
    </row>
    <row r="601">
      <c r="A601" s="155"/>
      <c r="G601" s="157"/>
    </row>
    <row r="602">
      <c r="A602" s="155"/>
      <c r="G602" s="157"/>
    </row>
    <row r="603">
      <c r="A603" s="155"/>
      <c r="G603" s="157"/>
    </row>
    <row r="604">
      <c r="A604" s="155"/>
      <c r="G604" s="157"/>
    </row>
    <row r="605">
      <c r="A605" s="155"/>
      <c r="G605" s="157"/>
    </row>
    <row r="606">
      <c r="A606" s="155"/>
      <c r="G606" s="157"/>
    </row>
    <row r="607">
      <c r="A607" s="155"/>
      <c r="G607" s="157"/>
    </row>
    <row r="608">
      <c r="A608" s="155"/>
      <c r="G608" s="157"/>
    </row>
    <row r="609">
      <c r="A609" s="155"/>
      <c r="G609" s="157"/>
    </row>
    <row r="610">
      <c r="A610" s="155"/>
      <c r="G610" s="157"/>
    </row>
    <row r="611">
      <c r="A611" s="155"/>
      <c r="G611" s="157"/>
    </row>
    <row r="612">
      <c r="A612" s="155"/>
      <c r="G612" s="157"/>
    </row>
    <row r="613">
      <c r="A613" s="155"/>
      <c r="G613" s="157"/>
    </row>
    <row r="614">
      <c r="A614" s="155"/>
      <c r="G614" s="157"/>
    </row>
    <row r="615">
      <c r="A615" s="155"/>
      <c r="G615" s="157"/>
    </row>
    <row r="616">
      <c r="A616" s="155"/>
      <c r="G616" s="157"/>
    </row>
    <row r="617">
      <c r="A617" s="155"/>
      <c r="G617" s="157"/>
    </row>
    <row r="618">
      <c r="A618" s="155"/>
      <c r="G618" s="157"/>
    </row>
    <row r="619">
      <c r="A619" s="155"/>
      <c r="G619" s="157"/>
    </row>
    <row r="620">
      <c r="A620" s="155"/>
      <c r="G620" s="157"/>
    </row>
    <row r="621">
      <c r="A621" s="155"/>
      <c r="G621" s="157"/>
    </row>
    <row r="622">
      <c r="A622" s="155"/>
      <c r="G622" s="157"/>
    </row>
    <row r="623">
      <c r="A623" s="155"/>
      <c r="G623" s="157"/>
    </row>
    <row r="624">
      <c r="A624" s="155"/>
      <c r="G624" s="157"/>
    </row>
    <row r="625">
      <c r="A625" s="155"/>
      <c r="G625" s="157"/>
    </row>
    <row r="626">
      <c r="A626" s="155"/>
      <c r="G626" s="157"/>
    </row>
    <row r="627">
      <c r="A627" s="155"/>
      <c r="G627" s="157"/>
    </row>
    <row r="628">
      <c r="A628" s="155"/>
      <c r="G628" s="157"/>
    </row>
    <row r="629">
      <c r="A629" s="155"/>
      <c r="G629" s="157"/>
    </row>
    <row r="630">
      <c r="A630" s="155"/>
      <c r="G630" s="157"/>
    </row>
    <row r="631">
      <c r="A631" s="155"/>
      <c r="G631" s="157"/>
    </row>
    <row r="632">
      <c r="A632" s="155"/>
      <c r="G632" s="157"/>
    </row>
    <row r="633">
      <c r="A633" s="155"/>
      <c r="G633" s="157"/>
    </row>
    <row r="634">
      <c r="A634" s="155"/>
      <c r="G634" s="157"/>
    </row>
    <row r="635">
      <c r="A635" s="155"/>
      <c r="G635" s="157"/>
    </row>
    <row r="636">
      <c r="A636" s="155"/>
      <c r="G636" s="157"/>
    </row>
    <row r="637">
      <c r="A637" s="155"/>
      <c r="G637" s="157"/>
    </row>
    <row r="638">
      <c r="A638" s="155"/>
      <c r="G638" s="157"/>
    </row>
    <row r="639">
      <c r="A639" s="155"/>
      <c r="G639" s="157"/>
    </row>
    <row r="640">
      <c r="A640" s="155"/>
      <c r="G640" s="157"/>
    </row>
    <row r="641">
      <c r="A641" s="155"/>
      <c r="G641" s="157"/>
    </row>
    <row r="642">
      <c r="A642" s="155"/>
      <c r="G642" s="157"/>
    </row>
    <row r="643">
      <c r="A643" s="155"/>
      <c r="G643" s="157"/>
    </row>
    <row r="644">
      <c r="A644" s="155"/>
      <c r="G644" s="157"/>
    </row>
    <row r="645">
      <c r="A645" s="155"/>
      <c r="G645" s="157"/>
    </row>
    <row r="646">
      <c r="A646" s="155"/>
      <c r="G646" s="157"/>
    </row>
    <row r="647">
      <c r="A647" s="155"/>
      <c r="G647" s="157"/>
    </row>
    <row r="648">
      <c r="A648" s="155"/>
      <c r="G648" s="157"/>
    </row>
    <row r="649">
      <c r="A649" s="155"/>
      <c r="G649" s="157"/>
    </row>
    <row r="650">
      <c r="A650" s="155"/>
      <c r="G650" s="157"/>
    </row>
    <row r="651">
      <c r="A651" s="155"/>
      <c r="G651" s="157"/>
    </row>
    <row r="652">
      <c r="A652" s="155"/>
      <c r="G652" s="157"/>
    </row>
    <row r="653">
      <c r="A653" s="155"/>
      <c r="G653" s="157"/>
    </row>
    <row r="654">
      <c r="A654" s="155"/>
      <c r="G654" s="157"/>
    </row>
    <row r="655">
      <c r="A655" s="155"/>
      <c r="G655" s="157"/>
    </row>
    <row r="656">
      <c r="A656" s="155"/>
      <c r="G656" s="157"/>
    </row>
    <row r="657">
      <c r="A657" s="155"/>
      <c r="G657" s="157"/>
    </row>
    <row r="658">
      <c r="A658" s="155"/>
      <c r="G658" s="157"/>
    </row>
    <row r="659">
      <c r="A659" s="155"/>
      <c r="G659" s="157"/>
    </row>
    <row r="660">
      <c r="A660" s="155"/>
      <c r="G660" s="157"/>
    </row>
    <row r="661">
      <c r="A661" s="155"/>
      <c r="G661" s="157"/>
    </row>
    <row r="662">
      <c r="A662" s="155"/>
      <c r="G662" s="157"/>
    </row>
    <row r="663">
      <c r="A663" s="155"/>
      <c r="G663" s="157"/>
    </row>
    <row r="664">
      <c r="A664" s="155"/>
      <c r="G664" s="157"/>
    </row>
    <row r="665">
      <c r="A665" s="155"/>
      <c r="G665" s="157"/>
    </row>
    <row r="666">
      <c r="A666" s="155"/>
      <c r="G666" s="157"/>
    </row>
    <row r="667">
      <c r="A667" s="155"/>
      <c r="G667" s="157"/>
    </row>
    <row r="668">
      <c r="A668" s="155"/>
      <c r="G668" s="157"/>
    </row>
    <row r="669">
      <c r="A669" s="155"/>
      <c r="G669" s="157"/>
    </row>
    <row r="670">
      <c r="A670" s="155"/>
      <c r="G670" s="157"/>
    </row>
    <row r="671">
      <c r="A671" s="155"/>
      <c r="G671" s="157"/>
    </row>
    <row r="672">
      <c r="A672" s="155"/>
      <c r="G672" s="157"/>
    </row>
    <row r="673">
      <c r="A673" s="155"/>
      <c r="G673" s="157"/>
    </row>
    <row r="674">
      <c r="A674" s="155"/>
      <c r="G674" s="157"/>
    </row>
    <row r="675">
      <c r="A675" s="155"/>
      <c r="G675" s="157"/>
    </row>
    <row r="676">
      <c r="A676" s="155"/>
      <c r="G676" s="157"/>
    </row>
    <row r="677">
      <c r="A677" s="155"/>
      <c r="G677" s="157"/>
    </row>
    <row r="678">
      <c r="A678" s="155"/>
      <c r="G678" s="157"/>
    </row>
    <row r="679">
      <c r="A679" s="155"/>
      <c r="G679" s="157"/>
    </row>
    <row r="680">
      <c r="A680" s="155"/>
      <c r="G680" s="157"/>
    </row>
    <row r="681">
      <c r="A681" s="155"/>
      <c r="G681" s="157"/>
    </row>
    <row r="682">
      <c r="A682" s="155"/>
      <c r="G682" s="157"/>
    </row>
    <row r="683">
      <c r="A683" s="155"/>
      <c r="G683" s="157"/>
    </row>
    <row r="684">
      <c r="A684" s="155"/>
      <c r="G684" s="157"/>
    </row>
    <row r="685">
      <c r="A685" s="155"/>
      <c r="G685" s="157"/>
    </row>
    <row r="686">
      <c r="A686" s="155"/>
      <c r="G686" s="157"/>
    </row>
    <row r="687">
      <c r="A687" s="155"/>
      <c r="G687" s="157"/>
    </row>
    <row r="688">
      <c r="A688" s="155"/>
      <c r="G688" s="157"/>
    </row>
    <row r="689">
      <c r="A689" s="155"/>
      <c r="G689" s="157"/>
    </row>
    <row r="690">
      <c r="A690" s="155"/>
      <c r="G690" s="157"/>
    </row>
    <row r="691">
      <c r="A691" s="155"/>
      <c r="G691" s="157"/>
    </row>
    <row r="692">
      <c r="A692" s="155"/>
      <c r="G692" s="157"/>
    </row>
    <row r="693">
      <c r="A693" s="155"/>
      <c r="G693" s="157"/>
    </row>
    <row r="694">
      <c r="A694" s="155"/>
      <c r="G694" s="157"/>
    </row>
    <row r="695">
      <c r="A695" s="155"/>
      <c r="G695" s="157"/>
    </row>
    <row r="696">
      <c r="A696" s="155"/>
      <c r="G696" s="157"/>
    </row>
    <row r="697">
      <c r="A697" s="155"/>
      <c r="G697" s="157"/>
    </row>
    <row r="698">
      <c r="A698" s="155"/>
      <c r="G698" s="157"/>
    </row>
    <row r="699">
      <c r="A699" s="155"/>
      <c r="G699" s="157"/>
    </row>
    <row r="700">
      <c r="A700" s="155"/>
      <c r="G700" s="157"/>
    </row>
    <row r="701">
      <c r="A701" s="155"/>
      <c r="G701" s="157"/>
    </row>
    <row r="702">
      <c r="A702" s="155"/>
      <c r="G702" s="157"/>
    </row>
    <row r="703">
      <c r="A703" s="155"/>
      <c r="G703" s="157"/>
    </row>
    <row r="704">
      <c r="A704" s="155"/>
      <c r="G704" s="157"/>
    </row>
    <row r="705">
      <c r="A705" s="155"/>
      <c r="G705" s="157"/>
    </row>
    <row r="706">
      <c r="A706" s="155"/>
      <c r="G706" s="157"/>
    </row>
    <row r="707">
      <c r="A707" s="155"/>
      <c r="G707" s="157"/>
    </row>
    <row r="708">
      <c r="A708" s="155"/>
      <c r="G708" s="157"/>
    </row>
    <row r="709">
      <c r="A709" s="155"/>
      <c r="G709" s="157"/>
    </row>
    <row r="710">
      <c r="A710" s="155"/>
      <c r="G710" s="157"/>
    </row>
    <row r="711">
      <c r="A711" s="155"/>
      <c r="G711" s="157"/>
    </row>
    <row r="712">
      <c r="A712" s="155"/>
      <c r="G712" s="157"/>
    </row>
    <row r="713">
      <c r="A713" s="155"/>
      <c r="G713" s="157"/>
    </row>
    <row r="714">
      <c r="A714" s="155"/>
      <c r="G714" s="157"/>
    </row>
    <row r="715">
      <c r="A715" s="155"/>
      <c r="G715" s="157"/>
    </row>
    <row r="716">
      <c r="A716" s="155"/>
      <c r="G716" s="157"/>
    </row>
    <row r="717">
      <c r="A717" s="155"/>
      <c r="G717" s="157"/>
    </row>
    <row r="718">
      <c r="A718" s="155"/>
      <c r="G718" s="157"/>
    </row>
    <row r="719">
      <c r="A719" s="155"/>
      <c r="G719" s="157"/>
    </row>
    <row r="720">
      <c r="A720" s="155"/>
      <c r="G720" s="157"/>
    </row>
    <row r="721">
      <c r="A721" s="155"/>
      <c r="G721" s="157"/>
    </row>
    <row r="722">
      <c r="A722" s="155"/>
      <c r="G722" s="157"/>
    </row>
    <row r="723">
      <c r="A723" s="155"/>
      <c r="G723" s="157"/>
    </row>
    <row r="724">
      <c r="A724" s="155"/>
      <c r="G724" s="157"/>
    </row>
    <row r="725">
      <c r="A725" s="155"/>
      <c r="G725" s="157"/>
    </row>
    <row r="726">
      <c r="A726" s="155"/>
      <c r="G726" s="157"/>
    </row>
    <row r="727">
      <c r="A727" s="155"/>
      <c r="G727" s="157"/>
    </row>
    <row r="728">
      <c r="A728" s="155"/>
      <c r="G728" s="157"/>
    </row>
    <row r="729">
      <c r="A729" s="155"/>
      <c r="G729" s="157"/>
    </row>
    <row r="730">
      <c r="A730" s="155"/>
      <c r="G730" s="157"/>
    </row>
    <row r="731">
      <c r="A731" s="155"/>
      <c r="G731" s="157"/>
    </row>
    <row r="732">
      <c r="A732" s="155"/>
      <c r="G732" s="157"/>
    </row>
    <row r="733">
      <c r="A733" s="155"/>
      <c r="G733" s="157"/>
    </row>
    <row r="734">
      <c r="A734" s="155"/>
      <c r="G734" s="157"/>
    </row>
    <row r="735">
      <c r="A735" s="155"/>
      <c r="G735" s="157"/>
    </row>
    <row r="736">
      <c r="A736" s="155"/>
      <c r="G736" s="157"/>
    </row>
    <row r="737">
      <c r="A737" s="155"/>
      <c r="G737" s="157"/>
    </row>
    <row r="738">
      <c r="A738" s="155"/>
      <c r="G738" s="157"/>
    </row>
    <row r="739">
      <c r="A739" s="155"/>
      <c r="G739" s="157"/>
    </row>
    <row r="740">
      <c r="A740" s="155"/>
      <c r="G740" s="157"/>
    </row>
    <row r="741">
      <c r="A741" s="155"/>
      <c r="G741" s="157"/>
    </row>
    <row r="742">
      <c r="A742" s="155"/>
      <c r="G742" s="157"/>
    </row>
    <row r="743">
      <c r="A743" s="155"/>
      <c r="G743" s="157"/>
    </row>
    <row r="744">
      <c r="A744" s="155"/>
      <c r="G744" s="157"/>
    </row>
    <row r="745">
      <c r="A745" s="155"/>
      <c r="G745" s="157"/>
    </row>
    <row r="746">
      <c r="A746" s="155"/>
      <c r="G746" s="157"/>
    </row>
    <row r="747">
      <c r="A747" s="155"/>
      <c r="G747" s="157"/>
    </row>
    <row r="748">
      <c r="A748" s="155"/>
      <c r="G748" s="157"/>
    </row>
    <row r="749">
      <c r="A749" s="155"/>
      <c r="G749" s="157"/>
    </row>
    <row r="750">
      <c r="A750" s="155"/>
      <c r="G750" s="157"/>
    </row>
    <row r="751">
      <c r="A751" s="155"/>
      <c r="G751" s="157"/>
    </row>
    <row r="752">
      <c r="A752" s="155"/>
      <c r="G752" s="157"/>
    </row>
    <row r="753">
      <c r="A753" s="155"/>
      <c r="G753" s="157"/>
    </row>
    <row r="754">
      <c r="A754" s="155"/>
      <c r="G754" s="157"/>
    </row>
    <row r="755">
      <c r="A755" s="155"/>
      <c r="G755" s="157"/>
    </row>
    <row r="756">
      <c r="A756" s="155"/>
      <c r="G756" s="157"/>
    </row>
    <row r="757">
      <c r="A757" s="155"/>
      <c r="G757" s="157"/>
    </row>
    <row r="758">
      <c r="A758" s="155"/>
      <c r="G758" s="157"/>
    </row>
    <row r="759">
      <c r="A759" s="155"/>
      <c r="G759" s="157"/>
    </row>
    <row r="760">
      <c r="A760" s="155"/>
      <c r="G760" s="157"/>
    </row>
    <row r="761">
      <c r="A761" s="155"/>
      <c r="G761" s="157"/>
    </row>
    <row r="762">
      <c r="A762" s="155"/>
      <c r="G762" s="157"/>
    </row>
    <row r="763">
      <c r="A763" s="155"/>
      <c r="G763" s="157"/>
    </row>
    <row r="764">
      <c r="A764" s="155"/>
      <c r="G764" s="157"/>
    </row>
    <row r="765">
      <c r="A765" s="155"/>
      <c r="G765" s="157"/>
    </row>
    <row r="766">
      <c r="A766" s="155"/>
      <c r="G766" s="157"/>
    </row>
    <row r="767">
      <c r="A767" s="155"/>
      <c r="G767" s="157"/>
    </row>
    <row r="768">
      <c r="A768" s="155"/>
      <c r="G768" s="157"/>
    </row>
    <row r="769">
      <c r="A769" s="155"/>
      <c r="G769" s="157"/>
    </row>
    <row r="770">
      <c r="A770" s="155"/>
      <c r="G770" s="157"/>
    </row>
    <row r="771">
      <c r="A771" s="155"/>
      <c r="G771" s="157"/>
    </row>
    <row r="772">
      <c r="A772" s="155"/>
      <c r="G772" s="157"/>
    </row>
    <row r="773">
      <c r="A773" s="155"/>
      <c r="G773" s="157"/>
    </row>
    <row r="774">
      <c r="A774" s="155"/>
      <c r="G774" s="157"/>
    </row>
    <row r="775">
      <c r="A775" s="155"/>
      <c r="G775" s="157"/>
    </row>
    <row r="776">
      <c r="A776" s="155"/>
      <c r="G776" s="157"/>
    </row>
    <row r="777">
      <c r="A777" s="155"/>
      <c r="G777" s="157"/>
    </row>
    <row r="778">
      <c r="A778" s="155"/>
      <c r="G778" s="157"/>
    </row>
    <row r="779">
      <c r="A779" s="155"/>
      <c r="G779" s="157"/>
    </row>
    <row r="780">
      <c r="A780" s="155"/>
      <c r="G780" s="157"/>
    </row>
    <row r="781">
      <c r="A781" s="155"/>
      <c r="G781" s="157"/>
    </row>
    <row r="782">
      <c r="A782" s="155"/>
      <c r="G782" s="157"/>
    </row>
    <row r="783">
      <c r="A783" s="155"/>
      <c r="G783" s="157"/>
    </row>
    <row r="784">
      <c r="A784" s="155"/>
      <c r="G784" s="157"/>
    </row>
    <row r="785">
      <c r="A785" s="155"/>
      <c r="G785" s="157"/>
    </row>
    <row r="786">
      <c r="A786" s="155"/>
      <c r="G786" s="157"/>
    </row>
    <row r="787">
      <c r="A787" s="155"/>
      <c r="G787" s="157"/>
    </row>
    <row r="788">
      <c r="A788" s="155"/>
      <c r="G788" s="157"/>
    </row>
    <row r="789">
      <c r="A789" s="155"/>
      <c r="G789" s="157"/>
    </row>
    <row r="790">
      <c r="A790" s="155"/>
      <c r="G790" s="157"/>
    </row>
    <row r="791">
      <c r="A791" s="155"/>
      <c r="G791" s="157"/>
    </row>
    <row r="792">
      <c r="A792" s="155"/>
      <c r="G792" s="157"/>
    </row>
    <row r="793">
      <c r="A793" s="155"/>
      <c r="G793" s="157"/>
    </row>
    <row r="794">
      <c r="A794" s="155"/>
      <c r="G794" s="157"/>
    </row>
    <row r="795">
      <c r="A795" s="155"/>
      <c r="G795" s="157"/>
    </row>
    <row r="796">
      <c r="A796" s="155"/>
      <c r="G796" s="157"/>
    </row>
    <row r="797">
      <c r="A797" s="155"/>
      <c r="G797" s="157"/>
    </row>
    <row r="798">
      <c r="A798" s="155"/>
      <c r="G798" s="157"/>
    </row>
    <row r="799">
      <c r="A799" s="155"/>
      <c r="G799" s="157"/>
    </row>
    <row r="800">
      <c r="A800" s="155"/>
      <c r="G800" s="157"/>
    </row>
    <row r="801">
      <c r="A801" s="155"/>
      <c r="G801" s="157"/>
    </row>
    <row r="802">
      <c r="A802" s="155"/>
      <c r="G802" s="157"/>
    </row>
    <row r="803">
      <c r="A803" s="155"/>
      <c r="G803" s="157"/>
    </row>
    <row r="804">
      <c r="A804" s="155"/>
      <c r="G804" s="157"/>
    </row>
    <row r="805">
      <c r="A805" s="155"/>
      <c r="G805" s="157"/>
    </row>
    <row r="806">
      <c r="A806" s="155"/>
      <c r="G806" s="157"/>
    </row>
    <row r="807">
      <c r="A807" s="155"/>
      <c r="G807" s="157"/>
    </row>
    <row r="808">
      <c r="A808" s="155"/>
      <c r="G808" s="157"/>
    </row>
    <row r="809">
      <c r="A809" s="155"/>
      <c r="G809" s="157"/>
    </row>
    <row r="810">
      <c r="A810" s="155"/>
      <c r="G810" s="157"/>
    </row>
    <row r="811">
      <c r="A811" s="155"/>
      <c r="G811" s="157"/>
    </row>
    <row r="812">
      <c r="A812" s="155"/>
      <c r="G812" s="157"/>
    </row>
    <row r="813">
      <c r="A813" s="155"/>
      <c r="G813" s="157"/>
    </row>
    <row r="814">
      <c r="A814" s="155"/>
      <c r="G814" s="157"/>
    </row>
    <row r="815">
      <c r="A815" s="155"/>
      <c r="G815" s="157"/>
    </row>
    <row r="816">
      <c r="A816" s="155"/>
      <c r="G816" s="157"/>
    </row>
    <row r="817">
      <c r="A817" s="155"/>
      <c r="G817" s="157"/>
    </row>
    <row r="818">
      <c r="A818" s="155"/>
      <c r="G818" s="157"/>
    </row>
    <row r="819">
      <c r="A819" s="155"/>
      <c r="G819" s="157"/>
    </row>
    <row r="820">
      <c r="A820" s="155"/>
      <c r="G820" s="157"/>
    </row>
    <row r="821">
      <c r="A821" s="155"/>
      <c r="G821" s="157"/>
    </row>
    <row r="822">
      <c r="A822" s="155"/>
      <c r="G822" s="157"/>
    </row>
    <row r="823">
      <c r="A823" s="155"/>
      <c r="G823" s="157"/>
    </row>
    <row r="824">
      <c r="A824" s="155"/>
      <c r="G824" s="157"/>
    </row>
    <row r="825">
      <c r="A825" s="155"/>
      <c r="G825" s="157"/>
    </row>
    <row r="826">
      <c r="A826" s="155"/>
      <c r="G826" s="157"/>
    </row>
    <row r="827">
      <c r="A827" s="155"/>
      <c r="G827" s="157"/>
    </row>
    <row r="828">
      <c r="A828" s="155"/>
      <c r="G828" s="157"/>
    </row>
    <row r="829">
      <c r="A829" s="155"/>
      <c r="G829" s="157"/>
    </row>
    <row r="830">
      <c r="A830" s="155"/>
      <c r="G830" s="157"/>
    </row>
    <row r="831">
      <c r="A831" s="155"/>
      <c r="G831" s="157"/>
    </row>
    <row r="832">
      <c r="A832" s="155"/>
      <c r="G832" s="157"/>
    </row>
    <row r="833">
      <c r="A833" s="155"/>
      <c r="G833" s="157"/>
    </row>
    <row r="834">
      <c r="A834" s="155"/>
      <c r="G834" s="157"/>
    </row>
    <row r="835">
      <c r="A835" s="155"/>
      <c r="G835" s="157"/>
    </row>
    <row r="836">
      <c r="A836" s="155"/>
      <c r="G836" s="157"/>
    </row>
    <row r="837">
      <c r="A837" s="155"/>
      <c r="G837" s="157"/>
    </row>
    <row r="838">
      <c r="A838" s="155"/>
      <c r="G838" s="157"/>
    </row>
    <row r="839">
      <c r="A839" s="155"/>
      <c r="G839" s="157"/>
    </row>
    <row r="840">
      <c r="A840" s="155"/>
      <c r="G840" s="157"/>
    </row>
    <row r="841">
      <c r="A841" s="155"/>
      <c r="G841" s="157"/>
    </row>
    <row r="842">
      <c r="A842" s="155"/>
      <c r="G842" s="157"/>
    </row>
    <row r="843">
      <c r="A843" s="155"/>
      <c r="G843" s="157"/>
    </row>
    <row r="844">
      <c r="A844" s="155"/>
      <c r="G844" s="157"/>
    </row>
    <row r="845">
      <c r="A845" s="155"/>
      <c r="G845" s="157"/>
    </row>
    <row r="846">
      <c r="A846" s="155"/>
      <c r="G846" s="157"/>
    </row>
    <row r="847">
      <c r="A847" s="155"/>
      <c r="G847" s="157"/>
    </row>
    <row r="848">
      <c r="A848" s="155"/>
      <c r="G848" s="157"/>
    </row>
    <row r="849">
      <c r="A849" s="155"/>
      <c r="G849" s="157"/>
    </row>
    <row r="850">
      <c r="A850" s="155"/>
      <c r="G850" s="157"/>
    </row>
    <row r="851">
      <c r="A851" s="155"/>
      <c r="G851" s="157"/>
    </row>
    <row r="852">
      <c r="A852" s="155"/>
      <c r="G852" s="157"/>
    </row>
    <row r="853">
      <c r="A853" s="155"/>
      <c r="G853" s="157"/>
    </row>
    <row r="854">
      <c r="A854" s="155"/>
      <c r="G854" s="157"/>
    </row>
    <row r="855">
      <c r="A855" s="155"/>
      <c r="G855" s="157"/>
    </row>
    <row r="856">
      <c r="A856" s="155"/>
      <c r="G856" s="157"/>
    </row>
    <row r="857">
      <c r="A857" s="155"/>
      <c r="G857" s="157"/>
    </row>
    <row r="858">
      <c r="A858" s="155"/>
      <c r="G858" s="157"/>
    </row>
    <row r="859">
      <c r="A859" s="155"/>
      <c r="G859" s="157"/>
    </row>
    <row r="860">
      <c r="A860" s="155"/>
      <c r="G860" s="157"/>
    </row>
    <row r="861">
      <c r="A861" s="155"/>
      <c r="G861" s="157"/>
    </row>
    <row r="862">
      <c r="A862" s="155"/>
      <c r="G862" s="157"/>
    </row>
    <row r="863">
      <c r="A863" s="155"/>
      <c r="G863" s="157"/>
    </row>
    <row r="864">
      <c r="A864" s="155"/>
      <c r="G864" s="157"/>
    </row>
    <row r="865">
      <c r="A865" s="155"/>
      <c r="G865" s="157"/>
    </row>
    <row r="866">
      <c r="A866" s="155"/>
      <c r="G866" s="157"/>
    </row>
    <row r="867">
      <c r="A867" s="155"/>
      <c r="G867" s="157"/>
    </row>
    <row r="868">
      <c r="A868" s="155"/>
      <c r="G868" s="157"/>
    </row>
    <row r="869">
      <c r="A869" s="155"/>
      <c r="G869" s="157"/>
    </row>
    <row r="870">
      <c r="A870" s="155"/>
      <c r="G870" s="157"/>
    </row>
    <row r="871">
      <c r="A871" s="155"/>
      <c r="G871" s="157"/>
    </row>
    <row r="872">
      <c r="A872" s="155"/>
      <c r="G872" s="157"/>
    </row>
    <row r="873">
      <c r="A873" s="155"/>
      <c r="G873" s="157"/>
    </row>
    <row r="874">
      <c r="A874" s="155"/>
      <c r="G874" s="157"/>
    </row>
    <row r="875">
      <c r="A875" s="155"/>
      <c r="G875" s="157"/>
    </row>
    <row r="876">
      <c r="A876" s="155"/>
      <c r="G876" s="157"/>
    </row>
    <row r="877">
      <c r="A877" s="155"/>
      <c r="G877" s="157"/>
    </row>
    <row r="878">
      <c r="A878" s="155"/>
      <c r="G878" s="157"/>
    </row>
    <row r="879">
      <c r="A879" s="155"/>
      <c r="G879" s="157"/>
    </row>
    <row r="880">
      <c r="A880" s="155"/>
      <c r="G880" s="157"/>
    </row>
    <row r="881">
      <c r="A881" s="155"/>
      <c r="G881" s="157"/>
    </row>
    <row r="882">
      <c r="A882" s="155"/>
      <c r="G882" s="157"/>
    </row>
    <row r="883">
      <c r="A883" s="155"/>
      <c r="G883" s="157"/>
    </row>
    <row r="884">
      <c r="A884" s="155"/>
      <c r="G884" s="157"/>
    </row>
    <row r="885">
      <c r="A885" s="155"/>
      <c r="G885" s="157"/>
    </row>
    <row r="886">
      <c r="A886" s="155"/>
      <c r="G886" s="157"/>
    </row>
    <row r="887">
      <c r="A887" s="155"/>
      <c r="G887" s="157"/>
    </row>
    <row r="888">
      <c r="A888" s="155"/>
      <c r="G888" s="157"/>
    </row>
    <row r="889">
      <c r="A889" s="155"/>
      <c r="G889" s="157"/>
    </row>
    <row r="890">
      <c r="A890" s="155"/>
      <c r="G890" s="157"/>
    </row>
    <row r="891">
      <c r="A891" s="155"/>
      <c r="G891" s="157"/>
    </row>
    <row r="892">
      <c r="A892" s="155"/>
      <c r="G892" s="157"/>
    </row>
    <row r="893">
      <c r="A893" s="155"/>
      <c r="G893" s="157"/>
    </row>
    <row r="894">
      <c r="A894" s="155"/>
      <c r="G894" s="157"/>
    </row>
    <row r="895">
      <c r="A895" s="155"/>
      <c r="G895" s="157"/>
    </row>
    <row r="896">
      <c r="A896" s="155"/>
      <c r="G896" s="157"/>
    </row>
    <row r="897">
      <c r="A897" s="155"/>
      <c r="G897" s="157"/>
    </row>
    <row r="898">
      <c r="A898" s="155"/>
      <c r="G898" s="157"/>
    </row>
    <row r="899">
      <c r="A899" s="155"/>
      <c r="G899" s="157"/>
    </row>
    <row r="900">
      <c r="A900" s="155"/>
      <c r="G900" s="157"/>
    </row>
    <row r="901">
      <c r="A901" s="155"/>
      <c r="G901" s="157"/>
    </row>
    <row r="902">
      <c r="A902" s="155"/>
      <c r="G902" s="157"/>
    </row>
    <row r="903">
      <c r="A903" s="155"/>
      <c r="G903" s="157"/>
    </row>
    <row r="904">
      <c r="A904" s="155"/>
      <c r="G904" s="157"/>
    </row>
    <row r="905">
      <c r="A905" s="155"/>
      <c r="G905" s="157"/>
    </row>
    <row r="906">
      <c r="A906" s="155"/>
      <c r="G906" s="157"/>
    </row>
    <row r="907">
      <c r="A907" s="155"/>
      <c r="G907" s="157"/>
    </row>
    <row r="908">
      <c r="A908" s="155"/>
      <c r="G908" s="157"/>
    </row>
    <row r="909">
      <c r="A909" s="155"/>
      <c r="G909" s="157"/>
    </row>
    <row r="910">
      <c r="A910" s="155"/>
      <c r="G910" s="157"/>
    </row>
    <row r="911">
      <c r="A911" s="155"/>
      <c r="G911" s="157"/>
    </row>
    <row r="912">
      <c r="A912" s="155"/>
      <c r="G912" s="157"/>
    </row>
    <row r="913">
      <c r="A913" s="155"/>
      <c r="G913" s="157"/>
    </row>
    <row r="914">
      <c r="A914" s="155"/>
      <c r="G914" s="157"/>
    </row>
    <row r="915">
      <c r="A915" s="155"/>
      <c r="G915" s="157"/>
    </row>
    <row r="916">
      <c r="A916" s="155"/>
      <c r="G916" s="157"/>
    </row>
    <row r="917">
      <c r="A917" s="155"/>
      <c r="G917" s="157"/>
    </row>
    <row r="918">
      <c r="A918" s="155"/>
      <c r="G918" s="157"/>
    </row>
    <row r="919">
      <c r="A919" s="155"/>
      <c r="G919" s="157"/>
    </row>
    <row r="920">
      <c r="A920" s="155"/>
      <c r="G920" s="157"/>
    </row>
    <row r="921">
      <c r="A921" s="155"/>
      <c r="G921" s="157"/>
    </row>
    <row r="922">
      <c r="A922" s="155"/>
      <c r="G922" s="157"/>
    </row>
    <row r="923">
      <c r="A923" s="155"/>
      <c r="G923" s="157"/>
    </row>
    <row r="924">
      <c r="A924" s="155"/>
      <c r="G924" s="157"/>
    </row>
    <row r="925">
      <c r="A925" s="155"/>
      <c r="G925" s="157"/>
    </row>
    <row r="926">
      <c r="A926" s="155"/>
      <c r="G926" s="157"/>
    </row>
    <row r="927">
      <c r="A927" s="155"/>
      <c r="G927" s="157"/>
    </row>
    <row r="928">
      <c r="A928" s="155"/>
      <c r="G928" s="157"/>
    </row>
    <row r="929">
      <c r="A929" s="155"/>
      <c r="G929" s="157"/>
    </row>
    <row r="930">
      <c r="A930" s="155"/>
      <c r="G930" s="157"/>
    </row>
    <row r="931">
      <c r="A931" s="155"/>
      <c r="G931" s="157"/>
    </row>
    <row r="932">
      <c r="A932" s="155"/>
      <c r="G932" s="157"/>
    </row>
    <row r="933">
      <c r="A933" s="155"/>
      <c r="G933" s="157"/>
    </row>
    <row r="934">
      <c r="A934" s="155"/>
      <c r="G934" s="157"/>
    </row>
    <row r="935">
      <c r="A935" s="155"/>
      <c r="G935" s="157"/>
    </row>
    <row r="936">
      <c r="A936" s="155"/>
      <c r="G936" s="157"/>
    </row>
    <row r="937">
      <c r="A937" s="155"/>
      <c r="G937" s="157"/>
    </row>
    <row r="938">
      <c r="A938" s="155"/>
      <c r="G938" s="157"/>
    </row>
    <row r="939">
      <c r="A939" s="155"/>
      <c r="G939" s="157"/>
    </row>
    <row r="940">
      <c r="A940" s="155"/>
      <c r="G940" s="157"/>
    </row>
    <row r="941">
      <c r="A941" s="155"/>
      <c r="G941" s="157"/>
    </row>
    <row r="942">
      <c r="A942" s="155"/>
      <c r="G942" s="157"/>
    </row>
    <row r="943">
      <c r="A943" s="155"/>
      <c r="G943" s="157"/>
    </row>
    <row r="944">
      <c r="A944" s="155"/>
      <c r="G944" s="157"/>
    </row>
    <row r="945">
      <c r="A945" s="155"/>
      <c r="G945" s="157"/>
    </row>
    <row r="946">
      <c r="A946" s="155"/>
      <c r="G946" s="157"/>
    </row>
    <row r="947">
      <c r="A947" s="155"/>
      <c r="G947" s="157"/>
    </row>
    <row r="948">
      <c r="A948" s="155"/>
      <c r="G948" s="157"/>
    </row>
    <row r="949">
      <c r="A949" s="155"/>
      <c r="G949" s="157"/>
    </row>
    <row r="950">
      <c r="A950" s="155"/>
      <c r="G950" s="157"/>
    </row>
    <row r="951">
      <c r="A951" s="155"/>
      <c r="G951" s="157"/>
    </row>
    <row r="952">
      <c r="A952" s="155"/>
      <c r="G952" s="157"/>
    </row>
    <row r="953">
      <c r="A953" s="155"/>
      <c r="G953" s="157"/>
    </row>
    <row r="954">
      <c r="A954" s="155"/>
      <c r="G954" s="157"/>
    </row>
    <row r="955">
      <c r="A955" s="155"/>
      <c r="G955" s="157"/>
    </row>
    <row r="956">
      <c r="A956" s="155"/>
      <c r="G956" s="157"/>
    </row>
    <row r="957">
      <c r="A957" s="155"/>
      <c r="G957" s="157"/>
    </row>
    <row r="958">
      <c r="A958" s="155"/>
      <c r="G958" s="157"/>
    </row>
    <row r="959">
      <c r="A959" s="155"/>
      <c r="G959" s="157"/>
    </row>
    <row r="960">
      <c r="A960" s="155"/>
      <c r="G960" s="157"/>
    </row>
    <row r="961">
      <c r="A961" s="155"/>
      <c r="G961" s="157"/>
    </row>
    <row r="962">
      <c r="A962" s="155"/>
      <c r="G962" s="157"/>
    </row>
    <row r="963">
      <c r="A963" s="155"/>
      <c r="G963" s="157"/>
    </row>
    <row r="964">
      <c r="A964" s="155"/>
      <c r="G964" s="157"/>
    </row>
    <row r="965">
      <c r="A965" s="155"/>
      <c r="G965" s="157"/>
    </row>
    <row r="966">
      <c r="A966" s="155"/>
      <c r="G966" s="157"/>
    </row>
    <row r="967">
      <c r="A967" s="155"/>
      <c r="G967" s="157"/>
    </row>
    <row r="968">
      <c r="A968" s="155"/>
      <c r="G968" s="157"/>
    </row>
    <row r="969">
      <c r="A969" s="155"/>
      <c r="G969" s="157"/>
    </row>
    <row r="970">
      <c r="A970" s="155"/>
      <c r="G970" s="157"/>
    </row>
    <row r="971">
      <c r="A971" s="155"/>
      <c r="G971" s="157"/>
    </row>
    <row r="972">
      <c r="A972" s="155"/>
      <c r="G972" s="157"/>
    </row>
    <row r="973">
      <c r="A973" s="155"/>
      <c r="G973" s="157"/>
    </row>
    <row r="974">
      <c r="A974" s="155"/>
      <c r="G974" s="157"/>
    </row>
    <row r="975">
      <c r="A975" s="155"/>
      <c r="G975" s="157"/>
    </row>
    <row r="976">
      <c r="A976" s="155"/>
      <c r="G976" s="157"/>
    </row>
    <row r="977">
      <c r="A977" s="155"/>
      <c r="G977" s="157"/>
    </row>
    <row r="978">
      <c r="A978" s="155"/>
      <c r="G978" s="157"/>
    </row>
    <row r="979">
      <c r="A979" s="155"/>
      <c r="G979" s="157"/>
    </row>
    <row r="980">
      <c r="A980" s="155"/>
      <c r="G980" s="157"/>
    </row>
    <row r="981">
      <c r="A981" s="155"/>
      <c r="G981" s="157"/>
    </row>
    <row r="982">
      <c r="A982" s="155"/>
      <c r="G982" s="157"/>
    </row>
    <row r="983">
      <c r="A983" s="155"/>
      <c r="G983" s="157"/>
    </row>
    <row r="984">
      <c r="A984" s="155"/>
      <c r="G984" s="157"/>
    </row>
    <row r="985">
      <c r="A985" s="155"/>
      <c r="G985" s="157"/>
    </row>
    <row r="986">
      <c r="A986" s="155"/>
      <c r="G986" s="157"/>
    </row>
    <row r="987">
      <c r="A987" s="155"/>
      <c r="G987" s="157"/>
    </row>
    <row r="988">
      <c r="A988" s="155"/>
      <c r="G988" s="157"/>
    </row>
    <row r="989">
      <c r="A989" s="155"/>
      <c r="G989" s="157"/>
    </row>
    <row r="990">
      <c r="A990" s="155"/>
      <c r="G990" s="157"/>
    </row>
    <row r="991">
      <c r="A991" s="155"/>
      <c r="G991" s="157"/>
    </row>
    <row r="992">
      <c r="A992" s="155"/>
      <c r="G992" s="157"/>
    </row>
    <row r="993">
      <c r="A993" s="155"/>
      <c r="G993" s="157"/>
    </row>
    <row r="994">
      <c r="A994" s="155"/>
      <c r="G994" s="157"/>
    </row>
    <row r="995">
      <c r="A995" s="155"/>
      <c r="G995" s="157"/>
    </row>
    <row r="996">
      <c r="A996" s="155"/>
      <c r="G996" s="157"/>
    </row>
    <row r="997">
      <c r="A997" s="155"/>
      <c r="G997" s="157"/>
    </row>
    <row r="998">
      <c r="A998" s="155"/>
      <c r="G998" s="157"/>
    </row>
    <row r="999">
      <c r="A999" s="155"/>
      <c r="G999" s="157"/>
    </row>
    <row r="1000">
      <c r="A1000" s="155"/>
      <c r="G1000" s="157"/>
    </row>
  </sheetData>
  <drawing r:id="rId1"/>
</worksheet>
</file>